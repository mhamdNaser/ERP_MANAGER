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مجلد جديد\"/>
    </mc:Choice>
  </mc:AlternateContent>
  <xr:revisionPtr revIDLastSave="0" documentId="13_ncr:1_{749F8052-96DB-45ED-8387-6849FFC4E963}" xr6:coauthVersionLast="47" xr6:coauthVersionMax="47" xr10:uidLastSave="{00000000-0000-0000-0000-000000000000}"/>
  <bookViews>
    <workbookView xWindow="-108" yWindow="-108" windowWidth="23256" windowHeight="13896" xr2:uid="{B020F5E8-D7E5-4DCA-B03F-F56C11B7E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6" i="1"/>
  <c r="E34" i="1"/>
  <c r="F34" i="1"/>
  <c r="G34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<sst xmlns="http://schemas.openxmlformats.org/spreadsheetml/2006/main" count="97" uniqueCount="69">
  <si>
    <t xml:space="preserve">ic flash </t>
  </si>
  <si>
    <t>GL128S10GHIV2</t>
  </si>
  <si>
    <t xml:space="preserve">ic power </t>
  </si>
  <si>
    <t>كتلة MD785</t>
  </si>
  <si>
    <t>TPS5450</t>
  </si>
  <si>
    <t>كتلة MD785 &amp; RD-980</t>
  </si>
  <si>
    <t xml:space="preserve">RX memory </t>
  </si>
  <si>
    <t>OMAP5912ZZG</t>
  </si>
  <si>
    <t>RD-980</t>
  </si>
  <si>
    <t>Audio codic</t>
  </si>
  <si>
    <t>TLV320AIC29IRGZR</t>
  </si>
  <si>
    <t xml:space="preserve">Audio amplifier </t>
  </si>
  <si>
    <t>TDA8547TS</t>
  </si>
  <si>
    <t>HX1188NL</t>
  </si>
  <si>
    <t>Ethernet transformer</t>
  </si>
  <si>
    <t>LAN9311i</t>
  </si>
  <si>
    <t>Ethernet Procceser</t>
  </si>
  <si>
    <t>power</t>
  </si>
  <si>
    <t>FDC6420C</t>
  </si>
  <si>
    <t>tetra</t>
  </si>
  <si>
    <t>TPS65021RHA</t>
  </si>
  <si>
    <t>power transistor</t>
  </si>
  <si>
    <t>PD85035</t>
  </si>
  <si>
    <t>D45H8G</t>
  </si>
  <si>
    <t>transistor</t>
  </si>
  <si>
    <t>Tip122</t>
  </si>
  <si>
    <t>Tip127</t>
  </si>
  <si>
    <t>fan transistor</t>
  </si>
  <si>
    <t>PZT2222AT1</t>
  </si>
  <si>
    <t>40 pin</t>
  </si>
  <si>
    <t>pin flat cable</t>
  </si>
  <si>
    <t>مفتاح ترميز دوار</t>
  </si>
  <si>
    <t>Rotary Encoder</t>
  </si>
  <si>
    <t xml:space="preserve">شاشة </t>
  </si>
  <si>
    <t>شاشة محطة هيترا</t>
  </si>
  <si>
    <t xml:space="preserve">شاشة قبضة هيترا </t>
  </si>
  <si>
    <t>IPD42</t>
  </si>
  <si>
    <t>ترانزستور</t>
  </si>
  <si>
    <t>78L05</t>
  </si>
  <si>
    <t>IC</t>
  </si>
  <si>
    <t>AD8314</t>
  </si>
  <si>
    <t>NJM2904</t>
  </si>
  <si>
    <t>LM124</t>
  </si>
  <si>
    <t>العدد</t>
  </si>
  <si>
    <t>MX69GL</t>
  </si>
  <si>
    <t>TPS5430DDA</t>
  </si>
  <si>
    <t>محطة سليكس</t>
  </si>
  <si>
    <t>RT8058GQW</t>
  </si>
  <si>
    <t>محطة هيترا</t>
  </si>
  <si>
    <t>G24107MN-R</t>
  </si>
  <si>
    <t>قبضة هيترا</t>
  </si>
  <si>
    <t>73312GQ22</t>
  </si>
  <si>
    <t xml:space="preserve"> كريستالة </t>
  </si>
  <si>
    <t>قبضة تيترا</t>
  </si>
  <si>
    <t>BQ24032A</t>
  </si>
  <si>
    <t>POWER</t>
  </si>
  <si>
    <t>مسؤول فرع الصيانة</t>
  </si>
  <si>
    <t>المهندس أحمد دركزنلي</t>
  </si>
  <si>
    <t>اسم العنصر</t>
  </si>
  <si>
    <t>سيريال العنصر</t>
  </si>
  <si>
    <t>الجهاز</t>
  </si>
  <si>
    <t>صورة القطعة</t>
  </si>
  <si>
    <t>سعر الوحدة ($)</t>
  </si>
  <si>
    <t>التكلفة الإجمالية ($)</t>
  </si>
  <si>
    <t>الإجمالي</t>
  </si>
  <si>
    <t>الجمهورية العربية السورية | Syrian Arab Republic</t>
  </si>
  <si>
    <t>وزارة الداخلية | Ministry of interior</t>
  </si>
  <si>
    <t>إدارة الاتصالات و الشبكات - فرع الصيانة
Network And Communications Management - Branch of Maintenance</t>
  </si>
  <si>
    <t>Network And Communications Management - Branch of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</si>
</sst>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&quot;$&quot;#,##0.00;[Red]\(&quot;$&quot;#,##0.00\)"/>
    <numFmt numFmtId="168" formatCode="&quot;$&quot;#,##0.00"/>
  </numFmts>
  <fonts count="13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1"/>
      <color rgb="FF243746"/>
      <name val="Arial"/>
      <scheme val="minor"/>
    </font>
    <font>
      <sz val="11"/>
      <color rgb="FF243746"/>
      <name val="Arial"/>
      <scheme val="minor"/>
    </font>
    <font>
      <b/>
      <sz val="11"/>
      <color rgb="FF243746"/>
      <name val="Arial"/>
    </font>
    <font>
      <b/>
      <sz val="12"/>
      <color rgb="FFFFFFFF"/>
      <name val="Arial"/>
      <scheme val="minor"/>
    </font>
    <font>
      <b/>
      <sz val="11"/>
      <color rgb="FF243746"/>
      <name val="Arial"/>
      <family val="2"/>
      <scheme val="minor"/>
    </font>
    <font>
      <b/>
      <sz val="16"/>
      <color rgb="FF243746"/>
      <name val="Arial"/>
      <family val="2"/>
      <scheme val="minor"/>
    </font>
    <font>
      <b/>
      <sz val="16"/>
      <color rgb="FFFFFFFF"/>
      <name val="Arial"/>
      <family val="2"/>
      <scheme val="minor"/>
    </font>
    <font>
      <b/>
      <sz val="16"/>
      <color rgb="FF536878"/>
      <name val="Arial"/>
      <family val="2"/>
      <scheme val="minor"/>
    </font>
    <font>
      <b/>
      <sz val="20"/>
      <color rgb="FF536878"/>
      <name val="Arial"/>
      <family val="2"/>
      <scheme val="minor"/>
    </font>
    <font>
      <b/>
      <sz val="20"/>
      <color rgb="FFFFFFFF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203C50"/>
        <bgColor indexed="64"/>
      </patternFill>
    </fill>
    <fill>
      <patternFill patternType="solid">
        <fgColor rgb="FFDFEAF0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DEE6ED"/>
      </top>
      <bottom/>
      <diagonal/>
    </border>
    <border>
      <left/>
      <right/>
      <top style="medium">
        <color rgb="FF203C50"/>
      </top>
      <bottom style="double">
        <color rgb="FF203C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44" fontId="2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4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0" xfId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3" fontId="4" fillId="4" borderId="0" xfId="0" applyNumberFormat="1" applyFont="1" applyFill="1" applyBorder="1" applyAlignment="1">
      <alignment horizontal="center" vertical="center"/>
    </xf>
    <xf numFmtId="3" fontId="4" fillId="5" borderId="5" xfId="0" applyNumberFormat="1" applyFont="1" applyFill="1" applyBorder="1" applyAlignment="1">
      <alignment horizontal="center" vertical="center"/>
    </xf>
    <xf numFmtId="3" fontId="4" fillId="4" borderId="5" xfId="0" applyNumberFormat="1" applyFont="1" applyFill="1" applyBorder="1" applyAlignment="1">
      <alignment horizontal="center" vertical="center"/>
    </xf>
    <xf numFmtId="165" fontId="4" fillId="4" borderId="0" xfId="2" applyNumberFormat="1" applyFont="1" applyFill="1" applyBorder="1" applyAlignment="1">
      <alignment horizontal="center" vertical="center"/>
    </xf>
    <xf numFmtId="165" fontId="4" fillId="5" borderId="5" xfId="2" applyNumberFormat="1" applyFont="1" applyFill="1" applyBorder="1" applyAlignment="1">
      <alignment horizontal="center" vertical="center"/>
    </xf>
    <xf numFmtId="165" fontId="4" fillId="4" borderId="5" xfId="2" applyNumberFormat="1" applyFont="1" applyFill="1" applyBorder="1" applyAlignment="1">
      <alignment horizontal="center" vertical="center"/>
    </xf>
    <xf numFmtId="165" fontId="3" fillId="4" borderId="0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165" fontId="3" fillId="4" borderId="5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168" fontId="8" fillId="7" borderId="6" xfId="2" applyNumberFormat="1" applyFont="1" applyFill="1" applyBorder="1" applyAlignment="1">
      <alignment horizontal="center" vertical="center"/>
    </xf>
    <xf numFmtId="3" fontId="8" fillId="7" borderId="6" xfId="0" applyNumberFormat="1" applyFont="1" applyFill="1" applyBorder="1" applyAlignment="1">
      <alignment horizontal="center" vertical="center"/>
    </xf>
    <xf numFmtId="165" fontId="9" fillId="6" borderId="6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8" borderId="1" xfId="3" applyFont="1" applyFill="1" applyBorder="1" applyAlignment="1">
      <alignment horizontal="center" vertical="center" wrapText="1"/>
    </xf>
    <xf numFmtId="0" fontId="9" fillId="8" borderId="0" xfId="3" applyFont="1" applyFill="1" applyBorder="1" applyAlignment="1">
      <alignment horizontal="center" vertical="center" wrapText="1"/>
    </xf>
    <xf numFmtId="0" fontId="12" fillId="8" borderId="7" xfId="3" applyFont="1" applyFill="1" applyBorder="1" applyAlignment="1">
      <alignment horizontal="center" vertical="center" wrapText="1"/>
    </xf>
    <xf numFmtId="0" fontId="12" fillId="8" borderId="8" xfId="3" applyFont="1" applyFill="1" applyBorder="1" applyAlignment="1">
      <alignment horizontal="center" vertical="center" wrapText="1"/>
    </xf>
    <xf numFmtId="0" fontId="12" fillId="8" borderId="9" xfId="3" applyFont="1" applyFill="1" applyBorder="1" applyAlignment="1">
      <alignment horizontal="center" vertical="center" wrapText="1"/>
    </xf>
    <xf numFmtId="0" fontId="12" fillId="8" borderId="1" xfId="3" applyFont="1" applyFill="1" applyBorder="1" applyAlignment="1">
      <alignment horizontal="center" vertical="center" wrapText="1"/>
    </xf>
    <xf numFmtId="0" fontId="12" fillId="8" borderId="0" xfId="3" applyFont="1" applyFill="1" applyBorder="1" applyAlignment="1">
      <alignment horizontal="center" vertical="center" wrapText="1"/>
    </xf>
    <xf numFmtId="0" fontId="12" fillId="8" borderId="3" xfId="3" applyFont="1" applyFill="1" applyBorder="1" applyAlignment="1">
      <alignment horizontal="center" vertical="center" wrapText="1"/>
    </xf>
    <xf numFmtId="0" fontId="12" fillId="8" borderId="10" xfId="3" applyFont="1" applyFill="1" applyBorder="1" applyAlignment="1">
      <alignment horizontal="center" vertical="center" wrapText="1"/>
    </xf>
    <xf numFmtId="0" fontId="12" fillId="8" borderId="4" xfId="3" applyFont="1" applyFill="1" applyBorder="1" applyAlignment="1">
      <alignment horizontal="center" vertical="center" wrapText="1"/>
    </xf>
    <xf numFmtId="0" fontId="12" fillId="8" borderId="2" xfId="3" applyFont="1" applyFill="1" applyBorder="1" applyAlignment="1">
      <alignment horizontal="center" vertical="center" wrapText="1"/>
    </xf>
  </cellXfs>
  <cellStyles count="4">
    <cellStyle name="60% - تمييز3" xfId="1" builtinId="40"/>
    <cellStyle name="60% - تمييز6" xfId="3" builtinId="52"/>
    <cellStyle name="Currency" xfId="2" builtinId="4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752231</xdr:colOff>
      <xdr:row>0</xdr:row>
      <xdr:rowOff>117231</xdr:rowOff>
    </xdr:from>
    <xdr:to>
      <xdr:col>6</xdr:col>
      <xdr:colOff>1182078</xdr:colOff>
      <xdr:row>3</xdr:row>
      <xdr:rowOff>258759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AB070075-6D85-4D82-B587-3870278B2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0158845" y="117231"/>
          <a:ext cx="1250463" cy="1108682"/>
        </a:xfrm>
        <a:prstGeom prst="rect">
          <a:avLst/>
        </a:prstGeom>
        <a:ln>
          <a:prstDash val="solid"/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35F7800-6D23-4F93-BCB3-363B491870EE}">
  <we:reference id="wa200010215" version="2.0.0.1" store="ar-SA" storeType="OMEX"/>
  <we:alternateReferences>
    <we:reference id="wa200010215" version="2.0.0.1" store="wa200010215" storeType="OMEX"/>
  </we:alternateReferences>
  <we:properties>
    <we:property name="bps.codex_control.document_id" value="&quot;fdf89180-1d72-433e-ae4e-cdc24c78733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8B78-EBC7-4511-951D-4785E6870010}">
  <sheetPr>
    <pageSetUpPr fitToPage="1"/>
  </sheetPr>
  <dimension ref="A1:G43"/>
  <sheetViews>
    <sheetView showGridLines="0" rightToLeft="1" tabSelected="1" zoomScale="78" zoomScaleNormal="100" workbookViewId="0">
      <selection activeCell="I5" sqref="I5"/>
    </sheetView>
  </sheetViews>
  <sheetFormatPr defaultRowHeight="13.8" x14ac:dyDescent="0.25"/>
  <cols>
    <col min="1" max="1" width="26.296875" customWidth="1"/>
    <col min="2" max="2" width="25.69921875" customWidth="1"/>
    <col min="3" max="3" width="24.69921875" customWidth="1"/>
    <col min="4" max="4" width="18" customWidth="1"/>
    <col min="5" max="5" width="20" customWidth="1"/>
    <col min="6" max="6" width="10.796875" customWidth="1"/>
    <col min="7" max="7" width="26" customWidth="1"/>
  </cols>
  <sheetData>
    <row r="1" spans="1:7" ht="27" customHeight="1" x14ac:dyDescent="0.25">
      <c r="A1" s="35" t="s">
        <v>65</v>
      </c>
      <c r="B1" s="36"/>
      <c r="C1" s="36"/>
      <c r="D1" s="36"/>
      <c r="E1" s="37"/>
      <c r="F1" s="33"/>
      <c r="G1" s="34"/>
    </row>
    <row r="2" spans="1:7" ht="26.4" customHeight="1" x14ac:dyDescent="0.25">
      <c r="A2" s="38" t="s">
        <v>66</v>
      </c>
      <c r="B2" s="39"/>
      <c r="C2" s="39"/>
      <c r="D2" s="39"/>
      <c r="E2" s="40"/>
      <c r="F2" s="33"/>
      <c r="G2" s="34"/>
    </row>
    <row r="3" spans="1:7" ht="23.4" customHeight="1" x14ac:dyDescent="0.25">
      <c r="A3" s="41" t="s">
        <v>67</v>
      </c>
      <c r="B3" s="42"/>
      <c r="C3" s="42"/>
      <c r="D3" s="42"/>
      <c r="E3" s="43"/>
      <c r="F3" s="33"/>
      <c r="G3" s="34"/>
    </row>
    <row r="4" spans="1:7" ht="31.2" customHeight="1" x14ac:dyDescent="0.25">
      <c r="A4" s="41" t="s">
        <v>68</v>
      </c>
      <c r="B4" s="42"/>
      <c r="C4" s="42"/>
      <c r="D4" s="42"/>
      <c r="E4" s="43"/>
      <c r="F4" s="33"/>
      <c r="G4" s="34"/>
    </row>
    <row r="5" spans="1:7" ht="34.049999999999997" customHeight="1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 t="s">
        <v>43</v>
      </c>
      <c r="G5" s="12" t="s">
        <v>63</v>
      </c>
    </row>
    <row r="6" spans="1:7" ht="25.05" customHeight="1" x14ac:dyDescent="0.25">
      <c r="A6" s="3" t="s">
        <v>0</v>
      </c>
      <c r="B6" s="3" t="s">
        <v>1</v>
      </c>
      <c r="C6" s="3" t="s">
        <v>5</v>
      </c>
      <c r="D6" s="4"/>
      <c r="E6" s="16">
        <v>8</v>
      </c>
      <c r="F6" s="13">
        <v>50</v>
      </c>
      <c r="G6" s="19">
        <f>E6*F6</f>
        <v>400</v>
      </c>
    </row>
    <row r="7" spans="1:7" ht="25.05" customHeight="1" x14ac:dyDescent="0.25">
      <c r="A7" s="5" t="s">
        <v>2</v>
      </c>
      <c r="B7" s="5" t="s">
        <v>4</v>
      </c>
      <c r="C7" s="5" t="s">
        <v>3</v>
      </c>
      <c r="D7" s="6"/>
      <c r="E7" s="17">
        <v>10</v>
      </c>
      <c r="F7" s="14">
        <v>50</v>
      </c>
      <c r="G7" s="20">
        <f t="shared" ref="G7:G33" si="0">E7*F7</f>
        <v>500</v>
      </c>
    </row>
    <row r="8" spans="1:7" ht="25.05" customHeight="1" x14ac:dyDescent="0.25">
      <c r="A8" s="7" t="s">
        <v>6</v>
      </c>
      <c r="B8" s="8" t="s">
        <v>7</v>
      </c>
      <c r="C8" s="7" t="s">
        <v>8</v>
      </c>
      <c r="D8" s="9"/>
      <c r="E8" s="18">
        <v>60</v>
      </c>
      <c r="F8" s="15">
        <v>50</v>
      </c>
      <c r="G8" s="21">
        <f>E8*F8</f>
        <v>3000</v>
      </c>
    </row>
    <row r="9" spans="1:7" ht="25.05" customHeight="1" x14ac:dyDescent="0.25">
      <c r="A9" s="5" t="s">
        <v>9</v>
      </c>
      <c r="B9" s="10" t="s">
        <v>10</v>
      </c>
      <c r="C9" s="5" t="s">
        <v>8</v>
      </c>
      <c r="D9" s="6"/>
      <c r="E9" s="17">
        <v>15</v>
      </c>
      <c r="F9" s="14">
        <v>50</v>
      </c>
      <c r="G9" s="20">
        <f t="shared" si="0"/>
        <v>750</v>
      </c>
    </row>
    <row r="10" spans="1:7" ht="25.05" customHeight="1" x14ac:dyDescent="0.25">
      <c r="A10" s="7" t="s">
        <v>11</v>
      </c>
      <c r="B10" s="8" t="s">
        <v>12</v>
      </c>
      <c r="C10" s="7" t="s">
        <v>8</v>
      </c>
      <c r="D10" s="9"/>
      <c r="E10" s="18">
        <v>7</v>
      </c>
      <c r="F10" s="15">
        <v>50</v>
      </c>
      <c r="G10" s="21">
        <f t="shared" si="0"/>
        <v>350</v>
      </c>
    </row>
    <row r="11" spans="1:7" ht="31.2" customHeight="1" x14ac:dyDescent="0.25">
      <c r="A11" s="5" t="s">
        <v>14</v>
      </c>
      <c r="B11" s="10" t="s">
        <v>13</v>
      </c>
      <c r="C11" s="5" t="s">
        <v>8</v>
      </c>
      <c r="D11" s="6" t="e" vm="1">
        <v>#VALUE!</v>
      </c>
      <c r="E11" s="17">
        <v>6</v>
      </c>
      <c r="F11" s="14">
        <v>50</v>
      </c>
      <c r="G11" s="20">
        <f t="shared" si="0"/>
        <v>300</v>
      </c>
    </row>
    <row r="12" spans="1:7" ht="34.799999999999997" customHeight="1" x14ac:dyDescent="0.25">
      <c r="A12" s="7" t="s">
        <v>16</v>
      </c>
      <c r="B12" s="8" t="s">
        <v>15</v>
      </c>
      <c r="C12" s="7" t="s">
        <v>8</v>
      </c>
      <c r="D12" s="9" t="e" vm="2">
        <v>#VALUE!</v>
      </c>
      <c r="E12" s="18">
        <v>17</v>
      </c>
      <c r="F12" s="15">
        <v>50</v>
      </c>
      <c r="G12" s="21">
        <f t="shared" si="0"/>
        <v>850</v>
      </c>
    </row>
    <row r="13" spans="1:7" ht="34.799999999999997" customHeight="1" x14ac:dyDescent="0.25">
      <c r="A13" s="5" t="s">
        <v>17</v>
      </c>
      <c r="B13" s="5" t="s">
        <v>18</v>
      </c>
      <c r="C13" s="5" t="s">
        <v>19</v>
      </c>
      <c r="D13" s="6" t="e" vm="3">
        <v>#VALUE!</v>
      </c>
      <c r="E13" s="17">
        <v>1.5</v>
      </c>
      <c r="F13" s="14">
        <v>50</v>
      </c>
      <c r="G13" s="20">
        <f t="shared" si="0"/>
        <v>75</v>
      </c>
    </row>
    <row r="14" spans="1:7" ht="33" customHeight="1" x14ac:dyDescent="0.25">
      <c r="A14" s="7" t="s">
        <v>2</v>
      </c>
      <c r="B14" s="8" t="s">
        <v>20</v>
      </c>
      <c r="C14" s="7" t="s">
        <v>8</v>
      </c>
      <c r="D14" s="9" t="e" vm="4">
        <v>#VALUE!</v>
      </c>
      <c r="E14" s="18">
        <v>10</v>
      </c>
      <c r="F14" s="15">
        <v>50</v>
      </c>
      <c r="G14" s="21">
        <f t="shared" si="0"/>
        <v>500</v>
      </c>
    </row>
    <row r="15" spans="1:7" ht="62.55" customHeight="1" x14ac:dyDescent="0.25">
      <c r="A15" s="5" t="s">
        <v>21</v>
      </c>
      <c r="B15" s="5" t="s">
        <v>22</v>
      </c>
      <c r="C15" s="5" t="s">
        <v>8</v>
      </c>
      <c r="D15" s="6" t="e" vm="5">
        <v>#VALUE!</v>
      </c>
      <c r="E15" s="17">
        <v>37</v>
      </c>
      <c r="F15" s="14">
        <v>50</v>
      </c>
      <c r="G15" s="20">
        <f t="shared" si="0"/>
        <v>1850</v>
      </c>
    </row>
    <row r="16" spans="1:7" ht="49.2" customHeight="1" x14ac:dyDescent="0.25">
      <c r="A16" s="7" t="s">
        <v>21</v>
      </c>
      <c r="B16" s="7" t="s">
        <v>23</v>
      </c>
      <c r="C16" s="7" t="s">
        <v>8</v>
      </c>
      <c r="D16" s="9" t="e" vm="6">
        <v>#VALUE!</v>
      </c>
      <c r="E16" s="18">
        <v>1.5</v>
      </c>
      <c r="F16" s="15">
        <v>50</v>
      </c>
      <c r="G16" s="21">
        <f t="shared" si="0"/>
        <v>75</v>
      </c>
    </row>
    <row r="17" spans="1:7" ht="25.05" customHeight="1" x14ac:dyDescent="0.25">
      <c r="A17" s="5" t="s">
        <v>24</v>
      </c>
      <c r="B17" s="5" t="s">
        <v>25</v>
      </c>
      <c r="C17" s="5"/>
      <c r="D17" s="6"/>
      <c r="E17" s="17">
        <v>0.5</v>
      </c>
      <c r="F17" s="14">
        <v>50</v>
      </c>
      <c r="G17" s="20">
        <f t="shared" si="0"/>
        <v>25</v>
      </c>
    </row>
    <row r="18" spans="1:7" ht="25.05" customHeight="1" x14ac:dyDescent="0.25">
      <c r="A18" s="7" t="s">
        <v>24</v>
      </c>
      <c r="B18" s="7" t="s">
        <v>26</v>
      </c>
      <c r="C18" s="7"/>
      <c r="D18" s="9"/>
      <c r="E18" s="18">
        <v>0.5</v>
      </c>
      <c r="F18" s="15">
        <v>50</v>
      </c>
      <c r="G18" s="21">
        <f t="shared" si="0"/>
        <v>25</v>
      </c>
    </row>
    <row r="19" spans="1:7" ht="30.45" customHeight="1" x14ac:dyDescent="0.25">
      <c r="A19" s="5" t="s">
        <v>27</v>
      </c>
      <c r="B19" s="10" t="s">
        <v>28</v>
      </c>
      <c r="C19" s="5" t="s">
        <v>8</v>
      </c>
      <c r="D19" s="6" t="e" vm="7">
        <v>#VALUE!</v>
      </c>
      <c r="E19" s="17">
        <v>0.5</v>
      </c>
      <c r="F19" s="14">
        <v>50</v>
      </c>
      <c r="G19" s="20">
        <f t="shared" si="0"/>
        <v>25</v>
      </c>
    </row>
    <row r="20" spans="1:7" ht="64.2" customHeight="1" x14ac:dyDescent="0.25">
      <c r="A20" s="7" t="s">
        <v>30</v>
      </c>
      <c r="B20" s="7" t="s">
        <v>29</v>
      </c>
      <c r="C20" s="7"/>
      <c r="D20" s="9" t="e" vm="8">
        <v>#VALUE!</v>
      </c>
      <c r="E20" s="18">
        <v>0.5</v>
      </c>
      <c r="F20" s="15">
        <v>50</v>
      </c>
      <c r="G20" s="21">
        <f t="shared" si="0"/>
        <v>25</v>
      </c>
    </row>
    <row r="21" spans="1:7" ht="45" customHeight="1" x14ac:dyDescent="0.25">
      <c r="A21" s="22" t="s">
        <v>31</v>
      </c>
      <c r="B21" s="5" t="s">
        <v>32</v>
      </c>
      <c r="C21" s="5" t="s">
        <v>8</v>
      </c>
      <c r="D21" s="6" t="e" vm="9">
        <v>#VALUE!</v>
      </c>
      <c r="E21" s="17">
        <v>2.5</v>
      </c>
      <c r="F21" s="14">
        <v>50</v>
      </c>
      <c r="G21" s="20">
        <f t="shared" si="0"/>
        <v>125</v>
      </c>
    </row>
    <row r="22" spans="1:7" ht="25.05" customHeight="1" x14ac:dyDescent="0.25">
      <c r="A22" s="23" t="s">
        <v>33</v>
      </c>
      <c r="B22" s="7" t="s">
        <v>34</v>
      </c>
      <c r="C22" s="7" t="s">
        <v>8</v>
      </c>
      <c r="D22" s="9"/>
      <c r="E22" s="18">
        <v>10</v>
      </c>
      <c r="F22" s="15">
        <v>50</v>
      </c>
      <c r="G22" s="21">
        <f t="shared" si="0"/>
        <v>500</v>
      </c>
    </row>
    <row r="23" spans="1:7" ht="25.05" customHeight="1" x14ac:dyDescent="0.25">
      <c r="A23" s="22" t="s">
        <v>33</v>
      </c>
      <c r="B23" s="5" t="s">
        <v>35</v>
      </c>
      <c r="C23" s="5" t="s">
        <v>36</v>
      </c>
      <c r="D23" s="6"/>
      <c r="E23" s="17">
        <v>10</v>
      </c>
      <c r="F23" s="14">
        <v>50</v>
      </c>
      <c r="G23" s="20">
        <f t="shared" si="0"/>
        <v>500</v>
      </c>
    </row>
    <row r="24" spans="1:7" ht="25.05" customHeight="1" x14ac:dyDescent="0.25">
      <c r="A24" s="23" t="s">
        <v>37</v>
      </c>
      <c r="B24" s="9" t="s">
        <v>38</v>
      </c>
      <c r="C24" s="9" t="s">
        <v>8</v>
      </c>
      <c r="D24" s="9"/>
      <c r="E24" s="18">
        <v>0.5</v>
      </c>
      <c r="F24" s="15">
        <v>50</v>
      </c>
      <c r="G24" s="21">
        <f t="shared" si="0"/>
        <v>25</v>
      </c>
    </row>
    <row r="25" spans="1:7" ht="25.05" customHeight="1" x14ac:dyDescent="0.25">
      <c r="A25" s="22" t="s">
        <v>39</v>
      </c>
      <c r="B25" s="6" t="s">
        <v>40</v>
      </c>
      <c r="C25" s="6" t="s">
        <v>8</v>
      </c>
      <c r="D25" s="6"/>
      <c r="E25" s="17">
        <v>6</v>
      </c>
      <c r="F25" s="14">
        <v>50</v>
      </c>
      <c r="G25" s="20">
        <f t="shared" si="0"/>
        <v>300</v>
      </c>
    </row>
    <row r="26" spans="1:7" ht="25.05" customHeight="1" x14ac:dyDescent="0.25">
      <c r="A26" s="23" t="s">
        <v>39</v>
      </c>
      <c r="B26" s="9" t="s">
        <v>41</v>
      </c>
      <c r="C26" s="9" t="s">
        <v>8</v>
      </c>
      <c r="D26" s="9"/>
      <c r="E26" s="18">
        <v>0.5</v>
      </c>
      <c r="F26" s="15">
        <v>50</v>
      </c>
      <c r="G26" s="21">
        <f t="shared" si="0"/>
        <v>25</v>
      </c>
    </row>
    <row r="27" spans="1:7" ht="25.05" customHeight="1" x14ac:dyDescent="0.25">
      <c r="A27" s="22" t="s">
        <v>39</v>
      </c>
      <c r="B27" s="6" t="s">
        <v>42</v>
      </c>
      <c r="C27" s="6" t="s">
        <v>8</v>
      </c>
      <c r="D27" s="6"/>
      <c r="E27" s="17">
        <v>2</v>
      </c>
      <c r="F27" s="14">
        <v>50</v>
      </c>
      <c r="G27" s="20">
        <f t="shared" si="0"/>
        <v>100</v>
      </c>
    </row>
    <row r="28" spans="1:7" ht="25.05" customHeight="1" x14ac:dyDescent="0.25">
      <c r="A28" s="23" t="s">
        <v>39</v>
      </c>
      <c r="B28" s="9" t="s">
        <v>44</v>
      </c>
      <c r="C28" s="9" t="s">
        <v>8</v>
      </c>
      <c r="D28" s="9"/>
      <c r="E28" s="18">
        <v>10</v>
      </c>
      <c r="F28" s="15">
        <v>50</v>
      </c>
      <c r="G28" s="21">
        <f t="shared" si="0"/>
        <v>500</v>
      </c>
    </row>
    <row r="29" spans="1:7" ht="25.05" customHeight="1" x14ac:dyDescent="0.25">
      <c r="A29" s="22" t="s">
        <v>39</v>
      </c>
      <c r="B29" s="6" t="s">
        <v>45</v>
      </c>
      <c r="C29" s="6" t="s">
        <v>46</v>
      </c>
      <c r="D29" s="6"/>
      <c r="E29" s="17">
        <v>6</v>
      </c>
      <c r="F29" s="14">
        <v>50</v>
      </c>
      <c r="G29" s="20">
        <f t="shared" si="0"/>
        <v>300</v>
      </c>
    </row>
    <row r="30" spans="1:7" ht="25.05" customHeight="1" x14ac:dyDescent="0.25">
      <c r="A30" s="23" t="s">
        <v>39</v>
      </c>
      <c r="B30" s="9" t="s">
        <v>47</v>
      </c>
      <c r="C30" s="9" t="s">
        <v>48</v>
      </c>
      <c r="D30" s="9"/>
      <c r="E30" s="18">
        <v>2.5</v>
      </c>
      <c r="F30" s="15">
        <v>50</v>
      </c>
      <c r="G30" s="21">
        <f t="shared" si="0"/>
        <v>125</v>
      </c>
    </row>
    <row r="31" spans="1:7" ht="25.05" customHeight="1" x14ac:dyDescent="0.25">
      <c r="A31" s="22" t="s">
        <v>39</v>
      </c>
      <c r="B31" s="6" t="s">
        <v>49</v>
      </c>
      <c r="C31" s="6" t="s">
        <v>48</v>
      </c>
      <c r="D31" s="6"/>
      <c r="E31" s="17">
        <v>0.5</v>
      </c>
      <c r="F31" s="14">
        <v>50</v>
      </c>
      <c r="G31" s="20">
        <f t="shared" si="0"/>
        <v>25</v>
      </c>
    </row>
    <row r="32" spans="1:7" ht="25.05" customHeight="1" x14ac:dyDescent="0.25">
      <c r="A32" s="23" t="s">
        <v>39</v>
      </c>
      <c r="B32" s="9" t="s">
        <v>51</v>
      </c>
      <c r="C32" s="9" t="s">
        <v>50</v>
      </c>
      <c r="D32" s="9" t="s">
        <v>52</v>
      </c>
      <c r="E32" s="18">
        <v>3</v>
      </c>
      <c r="F32" s="15">
        <v>50</v>
      </c>
      <c r="G32" s="21">
        <f t="shared" si="0"/>
        <v>150</v>
      </c>
    </row>
    <row r="33" spans="1:7" ht="25.05" customHeight="1" thickBot="1" x14ac:dyDescent="0.3">
      <c r="A33" s="22" t="s">
        <v>39</v>
      </c>
      <c r="B33" s="6" t="s">
        <v>54</v>
      </c>
      <c r="C33" s="6" t="s">
        <v>53</v>
      </c>
      <c r="D33" s="6" t="s">
        <v>55</v>
      </c>
      <c r="E33" s="17">
        <v>1</v>
      </c>
      <c r="F33" s="14">
        <v>50</v>
      </c>
      <c r="G33" s="20">
        <f t="shared" si="0"/>
        <v>50</v>
      </c>
    </row>
    <row r="34" spans="1:7" ht="31.95" customHeight="1" thickBot="1" x14ac:dyDescent="0.3">
      <c r="A34" s="24" t="s">
        <v>64</v>
      </c>
      <c r="B34" s="24"/>
      <c r="C34" s="24"/>
      <c r="D34" s="24"/>
      <c r="E34" s="25">
        <f>SUM(E6:E33)</f>
        <v>229.5</v>
      </c>
      <c r="F34" s="26">
        <f>SUM(F6:F33)</f>
        <v>1400</v>
      </c>
      <c r="G34" s="27">
        <f>SUM(G6:G33)</f>
        <v>11475</v>
      </c>
    </row>
    <row r="35" spans="1:7" ht="14.4" thickTop="1" x14ac:dyDescent="0.25">
      <c r="A35" s="1"/>
      <c r="B35" s="1"/>
      <c r="C35" s="1"/>
      <c r="D35" s="2"/>
    </row>
    <row r="36" spans="1:7" x14ac:dyDescent="0.25">
      <c r="A36" s="1"/>
      <c r="B36" s="1"/>
      <c r="C36" s="1"/>
      <c r="D36" s="2"/>
    </row>
    <row r="37" spans="1:7" x14ac:dyDescent="0.25">
      <c r="A37" s="1"/>
      <c r="B37" s="1"/>
      <c r="C37" s="1"/>
      <c r="D37" s="2"/>
    </row>
    <row r="38" spans="1:7" ht="22.95" customHeight="1" x14ac:dyDescent="0.25">
      <c r="A38" s="1"/>
      <c r="B38" s="1"/>
      <c r="C38" s="1"/>
      <c r="D38" s="2"/>
      <c r="E38" s="28"/>
      <c r="F38" s="30" t="s">
        <v>56</v>
      </c>
      <c r="G38" s="30"/>
    </row>
    <row r="39" spans="1:7" ht="22.95" customHeight="1" x14ac:dyDescent="0.25">
      <c r="A39" s="1"/>
      <c r="B39" s="1"/>
      <c r="C39" s="1"/>
      <c r="D39" s="2"/>
      <c r="E39" s="28"/>
      <c r="F39" s="32"/>
      <c r="G39" s="32"/>
    </row>
    <row r="40" spans="1:7" ht="22.95" customHeight="1" x14ac:dyDescent="0.4">
      <c r="A40" s="1"/>
      <c r="B40" s="1"/>
      <c r="C40" s="1"/>
      <c r="E40" s="29"/>
      <c r="F40" s="31" t="s">
        <v>57</v>
      </c>
      <c r="G40" s="31"/>
    </row>
    <row r="41" spans="1:7" x14ac:dyDescent="0.25">
      <c r="A41" s="1"/>
      <c r="B41" s="1"/>
      <c r="C41" s="1"/>
    </row>
    <row r="42" spans="1:7" x14ac:dyDescent="0.25">
      <c r="A42" s="1"/>
      <c r="B42" s="1"/>
      <c r="C42" s="1"/>
    </row>
    <row r="43" spans="1:7" x14ac:dyDescent="0.25">
      <c r="A43" s="1"/>
      <c r="B43" s="1"/>
      <c r="C43" s="1"/>
    </row>
  </sheetData>
  <mergeCells count="10">
    <mergeCell ref="F38:G38"/>
    <mergeCell ref="F40:G40"/>
    <mergeCell ref="A1:E1"/>
    <mergeCell ref="F1:G1"/>
    <mergeCell ref="A2:E2"/>
    <mergeCell ref="F2:G2"/>
    <mergeCell ref="A3:E3"/>
    <mergeCell ref="F3:G3"/>
    <mergeCell ref="A4:E4"/>
    <mergeCell ref="F4:G4"/>
  </mergeCells>
  <pageMargins left="0" right="0.25" top="0" bottom="0.75" header="0.3" footer="0.3"/>
  <pageSetup paperSize="9" scale="59" fitToHeight="0" orientation="portrait" r:id="rId1"/>
  <colBreaks count="1" manualBreakCount="1">
    <brk id="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Abdulrazzaq</dc:creator>
  <cp:lastModifiedBy>ASUS</cp:lastModifiedBy>
  <cp:lastPrinted>2026-09-24T22:02:48Z</cp:lastPrinted>
  <dcterms:created xsi:type="dcterms:W3CDTF">2026-09-13T07:24:48Z</dcterms:created>
  <dcterms:modified xsi:type="dcterms:W3CDTF">2026-09-24T22:03:14Z</dcterms:modified>
</cp:coreProperties>
</file>