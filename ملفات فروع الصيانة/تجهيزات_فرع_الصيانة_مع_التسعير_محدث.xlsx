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مجلد جديد\"/>
    </mc:Choice>
  </mc:AlternateContent>
  <xr:revisionPtr revIDLastSave="0" documentId="13_ncr:1_{F3FF5428-B78F-42D3-A8AE-B367C6AA32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definedNames>
    <definedName name="_xlnm.Print_Area" localSheetId="0">ورقة1!$A$1:$F$110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B104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 l="1"/>
  <c r="F51" i="1"/>
  <c r="B105" i="1"/>
  <c r="F105" i="1" l="1"/>
</calcChain>
</file>

<file path=xl/sharedStrings.xml><?xml version="1.0" encoding="utf-8"?>
<sst xmlns="http://schemas.openxmlformats.org/spreadsheetml/2006/main" count="241" uniqueCount="145">
  <si>
    <t>عمود1</t>
  </si>
  <si>
    <t>عمود2</t>
  </si>
  <si>
    <t>عمود3</t>
  </si>
  <si>
    <t>عمود4</t>
  </si>
  <si>
    <t>العدد</t>
  </si>
  <si>
    <t>ملاحظات</t>
  </si>
  <si>
    <t>اسم الأداة</t>
  </si>
  <si>
    <t>مفك شق عادي</t>
  </si>
  <si>
    <t xml:space="preserve">غسالة بورد </t>
  </si>
  <si>
    <t>ماركة UltraSonic</t>
  </si>
  <si>
    <t>مفك مصالب طول 10 سم رأس فولاذ قياس Ph2</t>
  </si>
  <si>
    <t xml:space="preserve">مثبت بورد بملاقط معدنية مع مكبرة </t>
  </si>
  <si>
    <t>مفك مصالب طول 10 سم رأس فولاذ قياس Ph1</t>
  </si>
  <si>
    <t xml:space="preserve">مجهر عيني مع شاشة </t>
  </si>
  <si>
    <t>تكبير 40 أو 50</t>
  </si>
  <si>
    <t>قصدير 0.8 ملم 70x30 + قصدير مقطع 0.5 ملم</t>
  </si>
  <si>
    <t>بكرات 200 غ  تايواني إن وجد</t>
  </si>
  <si>
    <t xml:space="preserve">سجادة عمل  مطاطية لطاولات الصيانة  </t>
  </si>
  <si>
    <t>أكبر قياس  80*50</t>
  </si>
  <si>
    <t>قصدير سائل معجون ماركة ميكانيك</t>
  </si>
  <si>
    <t>كاوي رأس دبوس احترافي</t>
  </si>
  <si>
    <t>sugon t21</t>
  </si>
  <si>
    <t xml:space="preserve">قطاعة عادية </t>
  </si>
  <si>
    <t xml:space="preserve">كاوي ليزر احترافي </t>
  </si>
  <si>
    <t xml:space="preserve">قطاعة صغيرة للعناصر الالكترونية </t>
  </si>
  <si>
    <t xml:space="preserve">كاميرا حرارية منفصلة </t>
  </si>
  <si>
    <t xml:space="preserve">طقم 6 قطع خاص بفك الآيسيات </t>
  </si>
  <si>
    <t>ماركة goot(solder assist)</t>
  </si>
  <si>
    <t xml:space="preserve">علبة لوضع المفكات على كل طاولة </t>
  </si>
  <si>
    <t xml:space="preserve">بانسة عادية </t>
  </si>
  <si>
    <t>دروج 15*10 ارتفاع 5cm</t>
  </si>
  <si>
    <t>فلكس Flux سائل + معجون</t>
  </si>
  <si>
    <t>من نوع RMA-218</t>
  </si>
  <si>
    <t>ستيكر لزقات منع فك</t>
  </si>
  <si>
    <t>لمعرفة إذا تم فتح الجهاز في مكان آخر</t>
  </si>
  <si>
    <t>كاوي عادي ياباني</t>
  </si>
  <si>
    <t xml:space="preserve"> goot TQ 90 or 95</t>
  </si>
  <si>
    <t xml:space="preserve">بخاخ ثلج لكشف العطل </t>
  </si>
  <si>
    <t>شيلد ماركة goot</t>
  </si>
  <si>
    <t>بكرة كبيرة mm1.5/30 meter</t>
  </si>
  <si>
    <t xml:space="preserve">حقانة هواء الكترونية </t>
  </si>
  <si>
    <t>شفاط قصدير أزرق</t>
  </si>
  <si>
    <t>تايواني حصرا</t>
  </si>
  <si>
    <t>شفاط هواء لرائحة القصدير</t>
  </si>
  <si>
    <t>طقم ثلاث قطع spa tool</t>
  </si>
  <si>
    <t>معجونة تبريد للمعالجات و الترانزستورات</t>
  </si>
  <si>
    <t xml:space="preserve">لتر تنر نقي للتنظيف </t>
  </si>
  <si>
    <t xml:space="preserve">ملازم صغيرة </t>
  </si>
  <si>
    <t>مفك كهربائي push ألماني</t>
  </si>
  <si>
    <t xml:space="preserve">قبضة أو فرد </t>
  </si>
  <si>
    <t>عدسة كبيرة متحركة مع ضوء</t>
  </si>
  <si>
    <t>ملقط عناصر الكتروني عكسي</t>
  </si>
  <si>
    <t>power supply sugon 6010 PM</t>
  </si>
  <si>
    <t>ملاقط رأس دبوس معكوف نوع جيد</t>
  </si>
  <si>
    <t>sugon 8560 or Quick 861dw</t>
  </si>
  <si>
    <t xml:space="preserve">عبارة عن هيتر ماركة ممتازة </t>
  </si>
  <si>
    <t>ملاقط رأس دبوس مستقيم نوع جيد</t>
  </si>
  <si>
    <t>ماركة VENS إن وجد</t>
  </si>
  <si>
    <t xml:space="preserve">Mechnic NC800 </t>
  </si>
  <si>
    <t>800 PCS for cleaning</t>
  </si>
  <si>
    <t>ملاقط تمساح مع أسلاك عدة ألوان</t>
  </si>
  <si>
    <t xml:space="preserve">بلاطة حماية للشاشات </t>
  </si>
  <si>
    <t>sunshine S-918R</t>
  </si>
  <si>
    <t xml:space="preserve">عدسة مكبرة ليد عادية </t>
  </si>
  <si>
    <t>ماركة YAXUN رقم الموديل YX-929</t>
  </si>
  <si>
    <t>tinySA ultra</t>
  </si>
  <si>
    <t>spectrom analyzer</t>
  </si>
  <si>
    <t xml:space="preserve">بكرات كابلات 1 ملم عدة ألوان </t>
  </si>
  <si>
    <t>YCS6558X MICROSCOPE</t>
  </si>
  <si>
    <t xml:space="preserve">شرنك حراري عدة ألوان و أقطار </t>
  </si>
  <si>
    <t>شيلد ماركة YCS</t>
  </si>
  <si>
    <t>او حسب الماركات المتوفرة</t>
  </si>
  <si>
    <t>مفكات براغي ماركة GUNS</t>
  </si>
  <si>
    <t>موجودة عند خشيفاتي بالبرامكة</t>
  </si>
  <si>
    <t>ycs mulifunctional khife</t>
  </si>
  <si>
    <t>شفرات خاصة لرفع المعالجات</t>
  </si>
  <si>
    <t xml:space="preserve">كاوي رأس دبوس محطة </t>
  </si>
  <si>
    <t>ماركة YAXUN رقم الموديل YX-791</t>
  </si>
  <si>
    <t>RIGOL DHO914</t>
  </si>
  <si>
    <t>osilloscope</t>
  </si>
  <si>
    <t>فراشي تنظيف أفقية و عمودية خشنة و ناعمة</t>
  </si>
  <si>
    <t>la1010</t>
  </si>
  <si>
    <t>logic analizer</t>
  </si>
  <si>
    <t>مثقاب كهربائي</t>
  </si>
  <si>
    <t>ماكينة لحام نقطي</t>
  </si>
  <si>
    <t>sunkko-738 Al</t>
  </si>
  <si>
    <t>مفك بطارية فرد</t>
  </si>
  <si>
    <t>طابعة ثلاثية الابعاد</t>
  </si>
  <si>
    <t>Bambu lab x2d combo</t>
  </si>
  <si>
    <t xml:space="preserve">علبة ريش عدة مقاسات </t>
  </si>
  <si>
    <t>من 0.5 إلى 14 ملم</t>
  </si>
  <si>
    <t>RTL-SDR</t>
  </si>
  <si>
    <t xml:space="preserve">اسفنج أصفر تنظيف رأس كاوي </t>
  </si>
  <si>
    <t xml:space="preserve">مولد نبضات </t>
  </si>
  <si>
    <t>UTG-932E</t>
  </si>
  <si>
    <t>سيفة نحاس أصفر لتنظيف رأس الكاوي</t>
  </si>
  <si>
    <t xml:space="preserve">عبوة سائل تنظيف زجاجية </t>
  </si>
  <si>
    <t>2UUL DA81 CHARGEAPL POLISH DRILL PIN</t>
  </si>
  <si>
    <t>مثقب صغير</t>
  </si>
  <si>
    <t>مشرط</t>
  </si>
  <si>
    <t>2UUL SD90 STRPPED SCREW EXTRACTOR DRILL</t>
  </si>
  <si>
    <t xml:space="preserve">ريش صغيرة البراغي التالفة </t>
  </si>
  <si>
    <t>زرادية صغيرة ذات راس طويل</t>
  </si>
  <si>
    <t xml:space="preserve">فليكس ماركة ميكانيك </t>
  </si>
  <si>
    <t xml:space="preserve">زرادية كبيرة </t>
  </si>
  <si>
    <t xml:space="preserve">قصدير سائل </t>
  </si>
  <si>
    <t>138 AND 183 CILISIOS</t>
  </si>
  <si>
    <t xml:space="preserve">زرادية معكوفة </t>
  </si>
  <si>
    <t xml:space="preserve">بكرة قصدير </t>
  </si>
  <si>
    <t>صندوق عدة قياس كبير + وسط</t>
  </si>
  <si>
    <t xml:space="preserve"> UV LED </t>
  </si>
  <si>
    <t>SOLDRING IRON TIP</t>
  </si>
  <si>
    <t>قصدرة رأس الكاوي</t>
  </si>
  <si>
    <t>منفاخ هواء يدوي ماركة ميكانيك</t>
  </si>
  <si>
    <t>يقضل الالتزام بالماركة إن وجدت</t>
  </si>
  <si>
    <t xml:space="preserve">أسلاك معزولة مقصدرة </t>
  </si>
  <si>
    <t>بخاخ مزيل صدأ PW40</t>
  </si>
  <si>
    <t>بخاخ منظف 530</t>
  </si>
  <si>
    <t>جهاز short clear</t>
  </si>
  <si>
    <t>ST30A</t>
  </si>
  <si>
    <t>عمود22</t>
  </si>
  <si>
    <t>النوع</t>
  </si>
  <si>
    <t>قطعة</t>
  </si>
  <si>
    <t>بكرة</t>
  </si>
  <si>
    <t>علبة</t>
  </si>
  <si>
    <t>طقم</t>
  </si>
  <si>
    <t>لاصق B7000</t>
  </si>
  <si>
    <t>EG 160 حفار</t>
  </si>
  <si>
    <t xml:space="preserve">طقم كشبمان صغير </t>
  </si>
  <si>
    <t>راس كاوي 936</t>
  </si>
  <si>
    <t>عدسة متحركة مع لمبة ديل</t>
  </si>
  <si>
    <t>طقم مفكات 25 رأس في واحد</t>
  </si>
  <si>
    <t>Rigol DHO4104</t>
  </si>
  <si>
    <t>راسم إشارة</t>
  </si>
  <si>
    <t>مسؤول فرع الصيانة</t>
  </si>
  <si>
    <t>المهندس أحمد دركزنلي</t>
  </si>
  <si>
    <t>سعر الوحدة ($)</t>
  </si>
  <si>
    <t>إجمالي البند ($)</t>
  </si>
  <si>
    <t>إجمالي الجدول الثاني</t>
  </si>
  <si>
    <t>عمود5</t>
  </si>
  <si>
    <t>إجمالي الجدول الأول</t>
  </si>
  <si>
    <t>المجموع الكلي للجدولين</t>
  </si>
  <si>
    <t>الجمهورية العربية السورية | Syrian Arab Republic</t>
  </si>
  <si>
    <t>وزارة الداخلية | Ministry of interior</t>
  </si>
  <si>
    <t>إدارة الاتصالات و الشبكات - فرع الصيانة
Network And Communications Management - Branch of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</si>
</sst>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USD&quot;"/>
    <numFmt numFmtId="165" formatCode="&quot;$&quot;#,##0.00"/>
  </numFmts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rgb="FF233021"/>
      <name val="Arial"/>
      <family val="2"/>
      <scheme val="minor"/>
    </font>
    <font>
      <sz val="11"/>
      <color rgb="FF233021"/>
      <name val="Arial"/>
      <scheme val="minor"/>
    </font>
    <font>
      <b/>
      <sz val="12"/>
      <color rgb="FFFFFFFF"/>
      <name val="Arial"/>
      <scheme val="minor"/>
    </font>
    <font>
      <b/>
      <sz val="12"/>
      <color rgb="FFFFFFFF"/>
      <name val="Arial"/>
      <family val="2"/>
      <scheme val="minor"/>
    </font>
    <font>
      <sz val="10"/>
      <color rgb="FF52604F"/>
      <name val="Arial"/>
      <scheme val="minor"/>
    </font>
    <font>
      <b/>
      <sz val="16"/>
      <color rgb="FF43672B"/>
      <name val="Arial"/>
      <family val="2"/>
      <scheme val="minor"/>
    </font>
    <font>
      <b/>
      <sz val="11"/>
      <color rgb="FFFFFFFF"/>
      <name val="Arial"/>
      <scheme val="minor"/>
    </font>
    <font>
      <sz val="11"/>
      <color rgb="FF233021"/>
      <name val="Arial"/>
    </font>
    <font>
      <b/>
      <sz val="11"/>
      <color rgb="FF233021"/>
      <name val="Arial"/>
      <scheme val="minor"/>
    </font>
    <font>
      <b/>
      <sz val="10"/>
      <color rgb="FFFFFFFF"/>
      <name val="Arial"/>
      <scheme val="minor"/>
    </font>
    <font>
      <sz val="10"/>
      <color rgb="FF233021"/>
      <name val="Arial"/>
      <scheme val="minor"/>
    </font>
    <font>
      <sz val="11"/>
      <color rgb="FF0070C0"/>
      <name val="Arial"/>
      <scheme val="minor"/>
    </font>
    <font>
      <b/>
      <sz val="11"/>
      <color rgb="FF233021"/>
      <name val="Arial"/>
    </font>
    <font>
      <sz val="10"/>
      <color rgb="FF9C5700"/>
      <name val="Arial"/>
      <scheme val="minor"/>
    </font>
    <font>
      <b/>
      <sz val="16"/>
      <color rgb="FF233021"/>
      <name val="Arial"/>
      <family val="2"/>
      <scheme val="minor"/>
    </font>
    <font>
      <b/>
      <sz val="16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2"/>
      <color rgb="FF2330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rgb="FF4367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EC"/>
        <bgColor indexed="64"/>
      </patternFill>
    </fill>
    <fill>
      <patternFill patternType="solid">
        <fgColor rgb="FFE2EBD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rgb="FFCFD9C9"/>
      </top>
      <bottom/>
      <diagonal/>
    </border>
    <border>
      <left style="hair">
        <color rgb="FFCFD9C9"/>
      </left>
      <right style="hair">
        <color rgb="FFCFD9C9"/>
      </right>
      <top style="hair">
        <color rgb="FFCFD9C9"/>
      </top>
      <bottom style="hair">
        <color rgb="FFCFD9C9"/>
      </bottom>
      <diagonal/>
    </border>
    <border>
      <left style="hair">
        <color rgb="FFCFD9C9"/>
      </left>
      <right style="hair">
        <color rgb="FFCFD9C9"/>
      </right>
      <top style="hair">
        <color rgb="FFCFD9C9"/>
      </top>
      <bottom/>
      <diagonal/>
    </border>
    <border>
      <left/>
      <right/>
      <top style="thin">
        <color rgb="FF43672B"/>
      </top>
      <bottom style="thin">
        <color rgb="FF43672B"/>
      </bottom>
      <diagonal/>
    </border>
  </borders>
  <cellStyleXfs count="3">
    <xf numFmtId="0" fontId="0" fillId="0" borderId="0"/>
    <xf numFmtId="0" fontId="1" fillId="2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1" fontId="4" fillId="4" borderId="13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4" fontId="11" fillId="5" borderId="13" xfId="0" applyNumberFormat="1" applyFont="1" applyFill="1" applyBorder="1" applyAlignment="1">
      <alignment horizontal="center" vertical="center"/>
    </xf>
    <xf numFmtId="4" fontId="11" fillId="4" borderId="13" xfId="0" applyNumberFormat="1" applyFont="1" applyFill="1" applyBorder="1" applyAlignment="1">
      <alignment horizontal="center" vertical="center"/>
    </xf>
    <xf numFmtId="4" fontId="14" fillId="5" borderId="13" xfId="0" applyNumberFormat="1" applyFont="1" applyFill="1" applyBorder="1" applyAlignment="1">
      <alignment horizontal="center" vertical="center"/>
    </xf>
    <xf numFmtId="4" fontId="14" fillId="4" borderId="13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1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5" fontId="11" fillId="7" borderId="0" xfId="2" applyNumberFormat="1" applyFont="1" applyFill="1" applyBorder="1" applyAlignment="1">
      <alignment horizontal="center" vertical="center" readingOrder="1"/>
    </xf>
    <xf numFmtId="0" fontId="8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3" fillId="5" borderId="13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/>
    </xf>
    <xf numFmtId="1" fontId="19" fillId="3" borderId="15" xfId="0" applyNumberFormat="1" applyFont="1" applyFill="1" applyBorder="1" applyAlignment="1">
      <alignment horizontal="center" vertical="center"/>
    </xf>
    <xf numFmtId="165" fontId="19" fillId="3" borderId="15" xfId="0" applyNumberFormat="1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164" fontId="3" fillId="6" borderId="12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5" fontId="3" fillId="6" borderId="0" xfId="2" applyNumberFormat="1" applyFont="1" applyFill="1" applyBorder="1" applyAlignment="1">
      <alignment horizontal="center" vertical="center" readingOrder="1"/>
    </xf>
    <xf numFmtId="0" fontId="17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5" fillId="3" borderId="10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</cellXfs>
  <cellStyles count="3">
    <cellStyle name="60% - تمييز6" xfId="1" builtinId="52"/>
    <cellStyle name="Currency" xfId="2" builtinId="4"/>
    <cellStyle name="عادي" xfId="0" builtinId="0"/>
  </cellStyles>
  <dxfs count="8"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3021"/>
        <name val="Arial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strike val="0"/>
        <outline val="0"/>
        <shadow val="0"/>
        <u val="none"/>
        <vertAlign val="baseline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  <dxf>
      <font>
        <b val="0"/>
        <sz val="11"/>
        <color rgb="FF233021"/>
        <name val="Arial"/>
      </font>
      <fill>
        <patternFill patternType="solid">
          <fgColor indexed="64"/>
          <bgColor rgb="FFFFFFFF"/>
        </patternFill>
      </fill>
      <alignment horizontal="center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117717</xdr:colOff>
      <xdr:row>0</xdr:row>
      <xdr:rowOff>62753</xdr:rowOff>
    </xdr:from>
    <xdr:to>
      <xdr:col>5</xdr:col>
      <xdr:colOff>1038661</xdr:colOff>
      <xdr:row>2</xdr:row>
      <xdr:rowOff>154193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6826915" y="62753"/>
          <a:ext cx="920944" cy="5576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6" displayName="الجدول6" ref="A4:F51" totalsRowShown="0" headerRowDxfId="7" dataDxfId="6">
  <autoFilter ref="A4:F51" xr:uid="{00000000-0009-0000-0100-000001000000}"/>
  <tableColumns count="6">
    <tableColumn id="1" xr3:uid="{00000000-0010-0000-0000-000001000000}" name="عمود1" dataDxfId="5"/>
    <tableColumn id="3" xr3:uid="{00000000-0010-0000-0000-000003000000}" name="عمود2" dataDxfId="4"/>
    <tableColumn id="7" xr3:uid="{66E1A15F-0486-4863-9149-C1E76BCA0BC9}" name="عمود22" dataDxfId="3"/>
    <tableColumn id="4" xr3:uid="{00000000-0010-0000-0000-000004000000}" name="عمود3" dataDxfId="2"/>
    <tableColumn id="5" xr3:uid="{00000000-0010-0000-0000-000005000000}" name="عمود4" dataDxfId="1"/>
    <tableColumn id="2" xr3:uid="{CD4862F5-23C3-44BA-8193-DFDEF3C14806}" name="عمود5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A4D171-2184-4302-AF02-7A75FB4F8171}">
  <we:reference id="wa200010215" version="2.0.0.1" store="ar-SA" storeType="OMEX"/>
  <we:alternateReferences>
    <we:reference id="wa200010215" version="2.0.0.1" store="wa200010215" storeType="OMEX"/>
  </we:alternateReferences>
  <we:properties>
    <we:property name="bps.codex_control.document_id" value="&quot;2ed29214-cdfe-4c86-b379-b978e855ec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showGridLines="0" rightToLeft="1" tabSelected="1" zoomScale="85" zoomScaleNormal="29" workbookViewId="0">
      <selection activeCell="G7" sqref="G7"/>
    </sheetView>
  </sheetViews>
  <sheetFormatPr defaultRowHeight="24.6" customHeight="1" x14ac:dyDescent="0.25"/>
  <cols>
    <col min="1" max="1" width="39.19921875" customWidth="1"/>
    <col min="2" max="2" width="6" customWidth="1"/>
    <col min="3" max="3" width="7" customWidth="1"/>
    <col min="4" max="4" width="24.69921875" customWidth="1"/>
    <col min="5" max="5" width="11.69921875" customWidth="1"/>
    <col min="6" max="6" width="15.296875" customWidth="1"/>
    <col min="7" max="7" width="45" customWidth="1"/>
    <col min="8" max="8" width="7.5" customWidth="1"/>
    <col min="9" max="9" width="9.19921875" customWidth="1"/>
    <col min="10" max="10" width="32.5" customWidth="1"/>
    <col min="11" max="11" width="14.19921875" customWidth="1"/>
  </cols>
  <sheetData>
    <row r="1" spans="1:11" ht="19.05" customHeight="1" x14ac:dyDescent="0.25">
      <c r="A1" s="51" t="s">
        <v>142</v>
      </c>
      <c r="B1" s="52"/>
      <c r="C1" s="52"/>
      <c r="D1" s="52"/>
      <c r="E1" s="53"/>
      <c r="F1" s="48"/>
    </row>
    <row r="2" spans="1:11" ht="19.05" customHeight="1" x14ac:dyDescent="0.25">
      <c r="A2" s="54" t="s">
        <v>143</v>
      </c>
      <c r="B2" s="55"/>
      <c r="C2" s="55"/>
      <c r="D2" s="55"/>
      <c r="E2" s="56"/>
      <c r="F2" s="49"/>
    </row>
    <row r="3" spans="1:11" ht="15.6" x14ac:dyDescent="0.25">
      <c r="A3" s="57" t="s">
        <v>144</v>
      </c>
      <c r="B3" s="58"/>
      <c r="C3" s="58"/>
      <c r="D3" s="58"/>
      <c r="E3" s="59"/>
      <c r="F3" s="50"/>
    </row>
    <row r="4" spans="1:11" ht="15" hidden="1" customHeight="1" x14ac:dyDescent="0.25">
      <c r="A4" s="6" t="s">
        <v>0</v>
      </c>
      <c r="B4" s="6" t="s">
        <v>1</v>
      </c>
      <c r="C4" s="6" t="s">
        <v>120</v>
      </c>
      <c r="D4" s="6" t="s">
        <v>2</v>
      </c>
      <c r="E4" s="6" t="s">
        <v>3</v>
      </c>
      <c r="F4" s="6" t="s">
        <v>139</v>
      </c>
    </row>
    <row r="5" spans="1:11" ht="25.95" customHeight="1" x14ac:dyDescent="0.25">
      <c r="A5" s="16" t="s">
        <v>6</v>
      </c>
      <c r="B5" s="16" t="s">
        <v>4</v>
      </c>
      <c r="C5" s="16" t="s">
        <v>121</v>
      </c>
      <c r="D5" s="16" t="s">
        <v>5</v>
      </c>
      <c r="E5" s="16" t="s">
        <v>136</v>
      </c>
      <c r="F5" s="17" t="s">
        <v>137</v>
      </c>
    </row>
    <row r="6" spans="1:11" s="1" customFormat="1" ht="15" customHeight="1" x14ac:dyDescent="0.25">
      <c r="A6" s="30" t="s">
        <v>7</v>
      </c>
      <c r="B6" s="4">
        <v>3</v>
      </c>
      <c r="C6" s="5" t="s">
        <v>122</v>
      </c>
      <c r="D6" s="28"/>
      <c r="E6" s="14">
        <v>2</v>
      </c>
      <c r="F6" s="12">
        <f t="shared" ref="F6:F49" si="0">B6*E6</f>
        <v>6</v>
      </c>
      <c r="G6"/>
      <c r="H6"/>
      <c r="I6"/>
      <c r="J6"/>
      <c r="K6"/>
    </row>
    <row r="7" spans="1:11" s="1" customFormat="1" ht="15" customHeight="1" x14ac:dyDescent="0.25">
      <c r="A7" s="8" t="s">
        <v>10</v>
      </c>
      <c r="B7" s="2">
        <v>3</v>
      </c>
      <c r="C7" s="3" t="s">
        <v>122</v>
      </c>
      <c r="D7" s="29"/>
      <c r="E7" s="15">
        <v>3</v>
      </c>
      <c r="F7" s="13">
        <f t="shared" si="0"/>
        <v>9</v>
      </c>
      <c r="G7"/>
      <c r="H7"/>
      <c r="I7"/>
      <c r="J7"/>
      <c r="K7"/>
    </row>
    <row r="8" spans="1:11" s="1" customFormat="1" ht="15" customHeight="1" x14ac:dyDescent="0.25">
      <c r="A8" s="30" t="s">
        <v>12</v>
      </c>
      <c r="B8" s="4">
        <v>3</v>
      </c>
      <c r="C8" s="5" t="s">
        <v>122</v>
      </c>
      <c r="D8" s="28"/>
      <c r="E8" s="14">
        <v>3</v>
      </c>
      <c r="F8" s="12">
        <f t="shared" si="0"/>
        <v>9</v>
      </c>
      <c r="G8"/>
      <c r="H8"/>
      <c r="I8"/>
      <c r="J8"/>
      <c r="K8"/>
    </row>
    <row r="9" spans="1:11" ht="15" customHeight="1" x14ac:dyDescent="0.25">
      <c r="A9" s="8" t="s">
        <v>15</v>
      </c>
      <c r="B9" s="2">
        <v>3</v>
      </c>
      <c r="C9" s="3" t="s">
        <v>123</v>
      </c>
      <c r="D9" s="29" t="s">
        <v>16</v>
      </c>
      <c r="E9" s="15">
        <v>10</v>
      </c>
      <c r="F9" s="13">
        <f t="shared" si="0"/>
        <v>30</v>
      </c>
    </row>
    <row r="10" spans="1:11" ht="15" customHeight="1" x14ac:dyDescent="0.25">
      <c r="A10" s="30" t="s">
        <v>19</v>
      </c>
      <c r="B10" s="4">
        <v>3</v>
      </c>
      <c r="C10" s="5" t="s">
        <v>124</v>
      </c>
      <c r="D10" s="28"/>
      <c r="E10" s="14">
        <v>8</v>
      </c>
      <c r="F10" s="12">
        <f t="shared" si="0"/>
        <v>24</v>
      </c>
    </row>
    <row r="11" spans="1:11" ht="15" customHeight="1" x14ac:dyDescent="0.25">
      <c r="A11" s="8" t="s">
        <v>22</v>
      </c>
      <c r="B11" s="2">
        <v>3</v>
      </c>
      <c r="C11" s="3" t="s">
        <v>122</v>
      </c>
      <c r="D11" s="29"/>
      <c r="E11" s="15">
        <v>5</v>
      </c>
      <c r="F11" s="13">
        <f t="shared" si="0"/>
        <v>15</v>
      </c>
    </row>
    <row r="12" spans="1:11" ht="15" customHeight="1" x14ac:dyDescent="0.25">
      <c r="A12" s="30" t="s">
        <v>24</v>
      </c>
      <c r="B12" s="4">
        <v>3</v>
      </c>
      <c r="C12" s="5" t="s">
        <v>122</v>
      </c>
      <c r="D12" s="28"/>
      <c r="E12" s="14">
        <v>4</v>
      </c>
      <c r="F12" s="12">
        <f t="shared" si="0"/>
        <v>12</v>
      </c>
    </row>
    <row r="13" spans="1:11" ht="15" customHeight="1" x14ac:dyDescent="0.25">
      <c r="A13" s="8" t="s">
        <v>26</v>
      </c>
      <c r="B13" s="2">
        <v>3</v>
      </c>
      <c r="C13" s="3" t="s">
        <v>125</v>
      </c>
      <c r="D13" s="29" t="s">
        <v>27</v>
      </c>
      <c r="E13" s="15">
        <v>12</v>
      </c>
      <c r="F13" s="13">
        <f t="shared" si="0"/>
        <v>36</v>
      </c>
    </row>
    <row r="14" spans="1:11" ht="15" customHeight="1" x14ac:dyDescent="0.25">
      <c r="A14" s="30" t="s">
        <v>29</v>
      </c>
      <c r="B14" s="4">
        <v>3</v>
      </c>
      <c r="C14" s="5" t="s">
        <v>122</v>
      </c>
      <c r="D14" s="28"/>
      <c r="E14" s="14">
        <v>6</v>
      </c>
      <c r="F14" s="12">
        <f t="shared" si="0"/>
        <v>18</v>
      </c>
    </row>
    <row r="15" spans="1:11" ht="15" customHeight="1" x14ac:dyDescent="0.25">
      <c r="A15" s="8" t="s">
        <v>31</v>
      </c>
      <c r="B15" s="2">
        <v>3</v>
      </c>
      <c r="C15" s="3" t="s">
        <v>124</v>
      </c>
      <c r="D15" s="29" t="s">
        <v>32</v>
      </c>
      <c r="E15" s="15">
        <v>11</v>
      </c>
      <c r="F15" s="13">
        <f t="shared" si="0"/>
        <v>33</v>
      </c>
    </row>
    <row r="16" spans="1:11" ht="15" customHeight="1" x14ac:dyDescent="0.25">
      <c r="A16" s="30" t="s">
        <v>35</v>
      </c>
      <c r="B16" s="4">
        <v>3</v>
      </c>
      <c r="C16" s="5" t="s">
        <v>122</v>
      </c>
      <c r="D16" s="28" t="s">
        <v>36</v>
      </c>
      <c r="E16" s="14">
        <v>47</v>
      </c>
      <c r="F16" s="12">
        <f t="shared" si="0"/>
        <v>141</v>
      </c>
    </row>
    <row r="17" spans="1:6" ht="15" customHeight="1" x14ac:dyDescent="0.25">
      <c r="A17" s="8" t="s">
        <v>38</v>
      </c>
      <c r="B17" s="2">
        <v>3</v>
      </c>
      <c r="C17" s="3" t="s">
        <v>123</v>
      </c>
      <c r="D17" s="29" t="s">
        <v>39</v>
      </c>
      <c r="E17" s="15">
        <v>15</v>
      </c>
      <c r="F17" s="13">
        <f t="shared" si="0"/>
        <v>45</v>
      </c>
    </row>
    <row r="18" spans="1:6" ht="15" customHeight="1" x14ac:dyDescent="0.25">
      <c r="A18" s="30" t="s">
        <v>41</v>
      </c>
      <c r="B18" s="4">
        <v>3</v>
      </c>
      <c r="C18" s="5" t="s">
        <v>122</v>
      </c>
      <c r="D18" s="28" t="s">
        <v>42</v>
      </c>
      <c r="E18" s="14">
        <v>5</v>
      </c>
      <c r="F18" s="12">
        <f t="shared" si="0"/>
        <v>15</v>
      </c>
    </row>
    <row r="19" spans="1:6" ht="15" customHeight="1" x14ac:dyDescent="0.25">
      <c r="A19" s="8" t="s">
        <v>44</v>
      </c>
      <c r="B19" s="2">
        <v>3</v>
      </c>
      <c r="C19" s="3" t="s">
        <v>122</v>
      </c>
      <c r="D19" s="29"/>
      <c r="E19" s="15">
        <v>10</v>
      </c>
      <c r="F19" s="13">
        <f t="shared" si="0"/>
        <v>30</v>
      </c>
    </row>
    <row r="20" spans="1:6" ht="15" customHeight="1" x14ac:dyDescent="0.25">
      <c r="A20" s="30" t="s">
        <v>46</v>
      </c>
      <c r="B20" s="4">
        <v>3</v>
      </c>
      <c r="C20" s="5" t="s">
        <v>124</v>
      </c>
      <c r="D20" s="28"/>
      <c r="E20" s="14">
        <v>5</v>
      </c>
      <c r="F20" s="12">
        <f t="shared" si="0"/>
        <v>15</v>
      </c>
    </row>
    <row r="21" spans="1:6" ht="15" customHeight="1" x14ac:dyDescent="0.25">
      <c r="A21" s="8" t="s">
        <v>48</v>
      </c>
      <c r="B21" s="2">
        <v>3</v>
      </c>
      <c r="C21" s="3" t="s">
        <v>122</v>
      </c>
      <c r="D21" s="29" t="s">
        <v>49</v>
      </c>
      <c r="E21" s="15">
        <v>65</v>
      </c>
      <c r="F21" s="13">
        <f t="shared" si="0"/>
        <v>195</v>
      </c>
    </row>
    <row r="22" spans="1:6" ht="15" customHeight="1" x14ac:dyDescent="0.25">
      <c r="A22" s="30" t="s">
        <v>51</v>
      </c>
      <c r="B22" s="4">
        <v>3</v>
      </c>
      <c r="C22" s="5" t="s">
        <v>122</v>
      </c>
      <c r="D22" s="28"/>
      <c r="E22" s="14">
        <v>4</v>
      </c>
      <c r="F22" s="12">
        <f t="shared" si="0"/>
        <v>12</v>
      </c>
    </row>
    <row r="23" spans="1:6" ht="15" customHeight="1" x14ac:dyDescent="0.25">
      <c r="A23" s="8" t="s">
        <v>53</v>
      </c>
      <c r="B23" s="2">
        <v>3</v>
      </c>
      <c r="C23" s="3" t="s">
        <v>122</v>
      </c>
      <c r="D23" s="29"/>
      <c r="E23" s="15">
        <v>4</v>
      </c>
      <c r="F23" s="13">
        <f t="shared" si="0"/>
        <v>12</v>
      </c>
    </row>
    <row r="24" spans="1:6" ht="15" customHeight="1" x14ac:dyDescent="0.25">
      <c r="A24" s="30" t="s">
        <v>56</v>
      </c>
      <c r="B24" s="4">
        <v>3</v>
      </c>
      <c r="C24" s="5" t="s">
        <v>122</v>
      </c>
      <c r="D24" s="28" t="s">
        <v>57</v>
      </c>
      <c r="E24" s="14">
        <v>4</v>
      </c>
      <c r="F24" s="12">
        <f t="shared" si="0"/>
        <v>12</v>
      </c>
    </row>
    <row r="25" spans="1:6" ht="15" customHeight="1" x14ac:dyDescent="0.25">
      <c r="A25" s="8" t="s">
        <v>60</v>
      </c>
      <c r="B25" s="2">
        <v>3</v>
      </c>
      <c r="C25" s="3" t="s">
        <v>122</v>
      </c>
      <c r="D25" s="29"/>
      <c r="E25" s="15">
        <v>5</v>
      </c>
      <c r="F25" s="13">
        <f t="shared" si="0"/>
        <v>15</v>
      </c>
    </row>
    <row r="26" spans="1:6" ht="15" customHeight="1" x14ac:dyDescent="0.25">
      <c r="A26" s="30" t="s">
        <v>63</v>
      </c>
      <c r="B26" s="4">
        <v>3</v>
      </c>
      <c r="C26" s="5" t="s">
        <v>122</v>
      </c>
      <c r="D26" s="28" t="s">
        <v>64</v>
      </c>
      <c r="E26" s="14">
        <v>12</v>
      </c>
      <c r="F26" s="12">
        <f t="shared" si="0"/>
        <v>36</v>
      </c>
    </row>
    <row r="27" spans="1:6" ht="15" customHeight="1" x14ac:dyDescent="0.25">
      <c r="A27" s="8" t="s">
        <v>67</v>
      </c>
      <c r="B27" s="2">
        <v>3</v>
      </c>
      <c r="C27" s="3" t="s">
        <v>123</v>
      </c>
      <c r="D27" s="29"/>
      <c r="E27" s="15">
        <v>15</v>
      </c>
      <c r="F27" s="13">
        <f t="shared" si="0"/>
        <v>45</v>
      </c>
    </row>
    <row r="28" spans="1:6" ht="15" customHeight="1" x14ac:dyDescent="0.25">
      <c r="A28" s="30" t="s">
        <v>69</v>
      </c>
      <c r="B28" s="4">
        <v>3</v>
      </c>
      <c r="C28" s="5" t="s">
        <v>122</v>
      </c>
      <c r="D28" s="28"/>
      <c r="E28" s="14">
        <v>10</v>
      </c>
      <c r="F28" s="12">
        <f t="shared" si="0"/>
        <v>30</v>
      </c>
    </row>
    <row r="29" spans="1:6" ht="15" customHeight="1" x14ac:dyDescent="0.25">
      <c r="A29" s="8" t="s">
        <v>72</v>
      </c>
      <c r="B29" s="2">
        <v>3</v>
      </c>
      <c r="C29" s="3" t="s">
        <v>122</v>
      </c>
      <c r="D29" s="29" t="s">
        <v>73</v>
      </c>
      <c r="E29" s="15">
        <v>15</v>
      </c>
      <c r="F29" s="13">
        <f t="shared" si="0"/>
        <v>45</v>
      </c>
    </row>
    <row r="30" spans="1:6" ht="15" customHeight="1" x14ac:dyDescent="0.25">
      <c r="A30" s="30" t="s">
        <v>76</v>
      </c>
      <c r="B30" s="4">
        <v>3</v>
      </c>
      <c r="C30" s="5" t="s">
        <v>122</v>
      </c>
      <c r="D30" s="28" t="s">
        <v>77</v>
      </c>
      <c r="E30" s="14">
        <v>80</v>
      </c>
      <c r="F30" s="12">
        <f t="shared" si="0"/>
        <v>240</v>
      </c>
    </row>
    <row r="31" spans="1:6" ht="15" customHeight="1" x14ac:dyDescent="0.25">
      <c r="A31" s="8" t="s">
        <v>80</v>
      </c>
      <c r="B31" s="2">
        <v>3</v>
      </c>
      <c r="C31" s="3" t="s">
        <v>122</v>
      </c>
      <c r="D31" s="29"/>
      <c r="E31" s="15">
        <v>5</v>
      </c>
      <c r="F31" s="13">
        <f t="shared" si="0"/>
        <v>15</v>
      </c>
    </row>
    <row r="32" spans="1:6" ht="15" customHeight="1" x14ac:dyDescent="0.25">
      <c r="A32" s="30" t="s">
        <v>83</v>
      </c>
      <c r="B32" s="4">
        <v>3</v>
      </c>
      <c r="C32" s="5" t="s">
        <v>122</v>
      </c>
      <c r="D32" s="28"/>
      <c r="E32" s="14">
        <v>35</v>
      </c>
      <c r="F32" s="12">
        <f t="shared" si="0"/>
        <v>105</v>
      </c>
    </row>
    <row r="33" spans="1:6" ht="15" customHeight="1" x14ac:dyDescent="0.25">
      <c r="A33" s="8" t="s">
        <v>86</v>
      </c>
      <c r="B33" s="2">
        <v>2</v>
      </c>
      <c r="C33" s="3" t="s">
        <v>122</v>
      </c>
      <c r="D33" s="29"/>
      <c r="E33" s="15">
        <v>25</v>
      </c>
      <c r="F33" s="13">
        <f t="shared" si="0"/>
        <v>50</v>
      </c>
    </row>
    <row r="34" spans="1:6" ht="15" customHeight="1" x14ac:dyDescent="0.25">
      <c r="A34" s="30" t="s">
        <v>89</v>
      </c>
      <c r="B34" s="4">
        <v>3</v>
      </c>
      <c r="C34" s="5" t="s">
        <v>122</v>
      </c>
      <c r="D34" s="28" t="s">
        <v>90</v>
      </c>
      <c r="E34" s="14">
        <v>15</v>
      </c>
      <c r="F34" s="12">
        <f t="shared" si="0"/>
        <v>45</v>
      </c>
    </row>
    <row r="35" spans="1:6" ht="15" customHeight="1" x14ac:dyDescent="0.25">
      <c r="A35" s="8" t="s">
        <v>92</v>
      </c>
      <c r="B35" s="2">
        <v>3</v>
      </c>
      <c r="C35" s="3" t="s">
        <v>122</v>
      </c>
      <c r="D35" s="29"/>
      <c r="E35" s="15">
        <v>1</v>
      </c>
      <c r="F35" s="13">
        <f t="shared" si="0"/>
        <v>3</v>
      </c>
    </row>
    <row r="36" spans="1:6" ht="15" customHeight="1" x14ac:dyDescent="0.25">
      <c r="A36" s="30" t="s">
        <v>95</v>
      </c>
      <c r="B36" s="4">
        <v>3</v>
      </c>
      <c r="C36" s="5" t="s">
        <v>122</v>
      </c>
      <c r="D36" s="28"/>
      <c r="E36" s="14">
        <v>3</v>
      </c>
      <c r="F36" s="12">
        <f t="shared" si="0"/>
        <v>9</v>
      </c>
    </row>
    <row r="37" spans="1:6" ht="15" customHeight="1" x14ac:dyDescent="0.25">
      <c r="A37" s="8" t="s">
        <v>96</v>
      </c>
      <c r="B37" s="2">
        <v>3</v>
      </c>
      <c r="C37" s="3" t="s">
        <v>124</v>
      </c>
      <c r="D37" s="29"/>
      <c r="E37" s="15">
        <v>4</v>
      </c>
      <c r="F37" s="13">
        <f t="shared" si="0"/>
        <v>12</v>
      </c>
    </row>
    <row r="38" spans="1:6" ht="15" customHeight="1" x14ac:dyDescent="0.25">
      <c r="A38" s="30" t="s">
        <v>99</v>
      </c>
      <c r="B38" s="4">
        <v>3</v>
      </c>
      <c r="C38" s="5" t="s">
        <v>122</v>
      </c>
      <c r="D38" s="28"/>
      <c r="E38" s="14">
        <v>2</v>
      </c>
      <c r="F38" s="12">
        <f t="shared" si="0"/>
        <v>6</v>
      </c>
    </row>
    <row r="39" spans="1:6" ht="15" customHeight="1" x14ac:dyDescent="0.25">
      <c r="A39" s="8" t="s">
        <v>102</v>
      </c>
      <c r="B39" s="2">
        <v>5</v>
      </c>
      <c r="C39" s="3" t="s">
        <v>122</v>
      </c>
      <c r="D39" s="29"/>
      <c r="E39" s="15">
        <v>5</v>
      </c>
      <c r="F39" s="13">
        <f t="shared" si="0"/>
        <v>25</v>
      </c>
    </row>
    <row r="40" spans="1:6" ht="15" customHeight="1" x14ac:dyDescent="0.25">
      <c r="A40" s="30" t="s">
        <v>104</v>
      </c>
      <c r="B40" s="4">
        <v>5</v>
      </c>
      <c r="C40" s="5" t="s">
        <v>122</v>
      </c>
      <c r="D40" s="28"/>
      <c r="E40" s="14">
        <v>8</v>
      </c>
      <c r="F40" s="12">
        <f t="shared" si="0"/>
        <v>40</v>
      </c>
    </row>
    <row r="41" spans="1:6" ht="15" customHeight="1" x14ac:dyDescent="0.25">
      <c r="A41" s="8" t="s">
        <v>107</v>
      </c>
      <c r="B41" s="2">
        <v>5</v>
      </c>
      <c r="C41" s="3" t="s">
        <v>122</v>
      </c>
      <c r="D41" s="29"/>
      <c r="E41" s="15">
        <v>6</v>
      </c>
      <c r="F41" s="13">
        <f t="shared" si="0"/>
        <v>30</v>
      </c>
    </row>
    <row r="42" spans="1:6" ht="15" customHeight="1" x14ac:dyDescent="0.25">
      <c r="A42" s="30" t="s">
        <v>109</v>
      </c>
      <c r="B42" s="4">
        <v>3</v>
      </c>
      <c r="C42" s="5" t="s">
        <v>122</v>
      </c>
      <c r="D42" s="28"/>
      <c r="E42" s="14">
        <v>25</v>
      </c>
      <c r="F42" s="12">
        <f t="shared" si="0"/>
        <v>75</v>
      </c>
    </row>
    <row r="43" spans="1:6" ht="15" customHeight="1" x14ac:dyDescent="0.25">
      <c r="A43" s="9" t="s">
        <v>116</v>
      </c>
      <c r="B43" s="2">
        <v>10</v>
      </c>
      <c r="C43" s="3" t="s">
        <v>124</v>
      </c>
      <c r="D43" s="29"/>
      <c r="E43" s="15">
        <v>5</v>
      </c>
      <c r="F43" s="13">
        <f t="shared" si="0"/>
        <v>50</v>
      </c>
    </row>
    <row r="44" spans="1:6" ht="15" customHeight="1" x14ac:dyDescent="0.25">
      <c r="A44" s="31" t="s">
        <v>117</v>
      </c>
      <c r="B44" s="4">
        <v>10</v>
      </c>
      <c r="C44" s="5" t="s">
        <v>124</v>
      </c>
      <c r="D44" s="28"/>
      <c r="E44" s="14">
        <v>4</v>
      </c>
      <c r="F44" s="12">
        <f t="shared" si="0"/>
        <v>40</v>
      </c>
    </row>
    <row r="45" spans="1:6" ht="15" customHeight="1" x14ac:dyDescent="0.25">
      <c r="A45" s="8" t="s">
        <v>128</v>
      </c>
      <c r="B45" s="2">
        <v>2</v>
      </c>
      <c r="C45" s="3" t="s">
        <v>122</v>
      </c>
      <c r="D45" s="29"/>
      <c r="E45" s="15">
        <v>6</v>
      </c>
      <c r="F45" s="13">
        <f t="shared" si="0"/>
        <v>12</v>
      </c>
    </row>
    <row r="46" spans="1:6" ht="15" customHeight="1" x14ac:dyDescent="0.25">
      <c r="A46" s="30" t="s">
        <v>131</v>
      </c>
      <c r="B46" s="4">
        <v>5</v>
      </c>
      <c r="C46" s="5" t="s">
        <v>122</v>
      </c>
      <c r="D46" s="28"/>
      <c r="E46" s="14">
        <v>8</v>
      </c>
      <c r="F46" s="12">
        <f t="shared" si="0"/>
        <v>40</v>
      </c>
    </row>
    <row r="47" spans="1:6" ht="15" customHeight="1" x14ac:dyDescent="0.25">
      <c r="A47" s="8" t="s">
        <v>126</v>
      </c>
      <c r="B47" s="2">
        <v>10</v>
      </c>
      <c r="C47" s="3" t="s">
        <v>124</v>
      </c>
      <c r="D47" s="29"/>
      <c r="E47" s="15">
        <v>5</v>
      </c>
      <c r="F47" s="13">
        <f t="shared" si="0"/>
        <v>50</v>
      </c>
    </row>
    <row r="48" spans="1:6" ht="15" customHeight="1" x14ac:dyDescent="0.25">
      <c r="A48" s="30" t="s">
        <v>127</v>
      </c>
      <c r="B48" s="4">
        <v>2</v>
      </c>
      <c r="C48" s="5" t="s">
        <v>122</v>
      </c>
      <c r="D48" s="28"/>
      <c r="E48" s="14">
        <v>15</v>
      </c>
      <c r="F48" s="12">
        <f t="shared" si="0"/>
        <v>30</v>
      </c>
    </row>
    <row r="49" spans="1:6" ht="15" customHeight="1" x14ac:dyDescent="0.25">
      <c r="A49" s="8" t="s">
        <v>129</v>
      </c>
      <c r="B49" s="2">
        <v>5</v>
      </c>
      <c r="C49" s="3" t="s">
        <v>122</v>
      </c>
      <c r="D49" s="29"/>
      <c r="E49" s="15">
        <v>1.5</v>
      </c>
      <c r="F49" s="13">
        <f t="shared" si="0"/>
        <v>7.5</v>
      </c>
    </row>
    <row r="50" spans="1:6" ht="15" hidden="1" customHeight="1" x14ac:dyDescent="0.25">
      <c r="A50" s="7"/>
      <c r="B50" s="6"/>
      <c r="C50" s="6"/>
      <c r="D50" s="6"/>
      <c r="E50" s="6"/>
      <c r="F50" s="6"/>
    </row>
    <row r="51" spans="1:6" ht="21" customHeight="1" x14ac:dyDescent="0.25">
      <c r="A51" s="39" t="s">
        <v>140</v>
      </c>
      <c r="B51" s="40">
        <f>SUM(B6:B49)</f>
        <v>160</v>
      </c>
      <c r="C51" s="41"/>
      <c r="D51" s="41"/>
      <c r="E51" s="41"/>
      <c r="F51" s="42">
        <f>SUM(F6:F49)</f>
        <v>1724.5</v>
      </c>
    </row>
    <row r="52" spans="1:6" ht="21" customHeight="1" x14ac:dyDescent="0.25">
      <c r="A52" s="22"/>
      <c r="B52" s="23"/>
      <c r="C52" s="24"/>
      <c r="D52" s="24"/>
      <c r="E52" s="24"/>
      <c r="F52" s="25"/>
    </row>
    <row r="53" spans="1:6" ht="21" customHeight="1" x14ac:dyDescent="0.25">
      <c r="A53" s="22"/>
      <c r="B53" s="23"/>
      <c r="C53" s="24"/>
      <c r="D53" s="26"/>
      <c r="E53" s="46" t="s">
        <v>134</v>
      </c>
      <c r="F53" s="46"/>
    </row>
    <row r="54" spans="1:6" ht="21" customHeight="1" x14ac:dyDescent="0.25">
      <c r="A54" s="22"/>
      <c r="B54" s="23"/>
      <c r="C54" s="24"/>
      <c r="D54" s="24"/>
      <c r="E54" s="24"/>
      <c r="F54" s="25"/>
    </row>
    <row r="55" spans="1:6" ht="21" customHeight="1" x14ac:dyDescent="0.25">
      <c r="A55" s="22"/>
      <c r="B55" s="23"/>
      <c r="C55" s="24"/>
      <c r="D55" s="26"/>
      <c r="E55" s="46" t="s">
        <v>135</v>
      </c>
      <c r="F55" s="46"/>
    </row>
    <row r="56" spans="1:6" ht="21" customHeight="1" x14ac:dyDescent="0.25">
      <c r="A56" s="22"/>
      <c r="B56" s="23"/>
      <c r="C56" s="24"/>
      <c r="D56" s="26"/>
      <c r="E56" s="27"/>
      <c r="F56" s="27"/>
    </row>
    <row r="57" spans="1:6" ht="19.05" customHeight="1" x14ac:dyDescent="0.25">
      <c r="A57" s="44" t="s">
        <v>142</v>
      </c>
      <c r="B57" s="44"/>
      <c r="C57" s="44"/>
      <c r="D57" s="44"/>
      <c r="E57" s="44"/>
      <c r="F57" s="10"/>
    </row>
    <row r="58" spans="1:6" ht="19.05" customHeight="1" x14ac:dyDescent="0.25">
      <c r="A58" s="44" t="s">
        <v>143</v>
      </c>
      <c r="B58" s="44"/>
      <c r="C58" s="44"/>
      <c r="D58" s="44"/>
      <c r="E58" s="44"/>
      <c r="F58" s="10"/>
    </row>
    <row r="59" spans="1:6" ht="30" customHeight="1" x14ac:dyDescent="0.25">
      <c r="A59" s="45" t="s">
        <v>144</v>
      </c>
      <c r="B59" s="45"/>
      <c r="C59" s="45"/>
      <c r="D59" s="45"/>
      <c r="E59" s="45"/>
      <c r="F59" s="11"/>
    </row>
    <row r="60" spans="1:6" ht="25.95" customHeight="1" x14ac:dyDescent="0.25">
      <c r="A60" s="18" t="s">
        <v>6</v>
      </c>
      <c r="B60" s="18" t="s">
        <v>4</v>
      </c>
      <c r="C60" s="18" t="s">
        <v>121</v>
      </c>
      <c r="D60" s="18" t="s">
        <v>5</v>
      </c>
      <c r="E60" s="18" t="s">
        <v>136</v>
      </c>
      <c r="F60" s="18" t="s">
        <v>137</v>
      </c>
    </row>
    <row r="61" spans="1:6" ht="15" customHeight="1" x14ac:dyDescent="0.25">
      <c r="A61" s="30" t="s">
        <v>8</v>
      </c>
      <c r="B61" s="4">
        <v>2</v>
      </c>
      <c r="C61" s="5" t="s">
        <v>122</v>
      </c>
      <c r="D61" s="28" t="s">
        <v>9</v>
      </c>
      <c r="E61" s="14">
        <v>60</v>
      </c>
      <c r="F61" s="12">
        <f t="shared" ref="F61:F103" si="1">IF(ISNUMBER(E61),B61*E61,"سعر غير مدوّن")</f>
        <v>120</v>
      </c>
    </row>
    <row r="62" spans="1:6" ht="15" customHeight="1" x14ac:dyDescent="0.25">
      <c r="A62" s="8" t="s">
        <v>11</v>
      </c>
      <c r="B62" s="2">
        <v>5</v>
      </c>
      <c r="C62" s="3" t="s">
        <v>122</v>
      </c>
      <c r="D62" s="29"/>
      <c r="E62" s="15">
        <v>15</v>
      </c>
      <c r="F62" s="13">
        <f t="shared" si="1"/>
        <v>75</v>
      </c>
    </row>
    <row r="63" spans="1:6" ht="15" customHeight="1" x14ac:dyDescent="0.25">
      <c r="A63" s="30" t="s">
        <v>13</v>
      </c>
      <c r="B63" s="4">
        <v>3</v>
      </c>
      <c r="C63" s="5" t="s">
        <v>122</v>
      </c>
      <c r="D63" s="28" t="s">
        <v>14</v>
      </c>
      <c r="E63" s="14">
        <v>150</v>
      </c>
      <c r="F63" s="12">
        <f t="shared" si="1"/>
        <v>450</v>
      </c>
    </row>
    <row r="64" spans="1:6" ht="15" customHeight="1" x14ac:dyDescent="0.25">
      <c r="A64" s="8" t="s">
        <v>17</v>
      </c>
      <c r="B64" s="2">
        <v>3</v>
      </c>
      <c r="C64" s="3" t="s">
        <v>122</v>
      </c>
      <c r="D64" s="29" t="s">
        <v>18</v>
      </c>
      <c r="E64" s="15">
        <v>12</v>
      </c>
      <c r="F64" s="13">
        <f t="shared" si="1"/>
        <v>36</v>
      </c>
    </row>
    <row r="65" spans="1:6" ht="15" customHeight="1" x14ac:dyDescent="0.25">
      <c r="A65" s="30" t="s">
        <v>20</v>
      </c>
      <c r="B65" s="4">
        <v>3</v>
      </c>
      <c r="C65" s="5" t="s">
        <v>122</v>
      </c>
      <c r="D65" s="28" t="s">
        <v>21</v>
      </c>
      <c r="E65" s="14">
        <v>255</v>
      </c>
      <c r="F65" s="12">
        <f t="shared" si="1"/>
        <v>765</v>
      </c>
    </row>
    <row r="66" spans="1:6" ht="15" customHeight="1" x14ac:dyDescent="0.25">
      <c r="A66" s="8" t="s">
        <v>23</v>
      </c>
      <c r="B66" s="2">
        <v>3</v>
      </c>
      <c r="C66" s="3" t="s">
        <v>122</v>
      </c>
      <c r="D66" s="29"/>
      <c r="E66" s="15">
        <v>450</v>
      </c>
      <c r="F66" s="13">
        <f t="shared" si="1"/>
        <v>1350</v>
      </c>
    </row>
    <row r="67" spans="1:6" ht="15" customHeight="1" x14ac:dyDescent="0.25">
      <c r="A67" s="30" t="s">
        <v>25</v>
      </c>
      <c r="B67" s="4">
        <v>3</v>
      </c>
      <c r="C67" s="5" t="s">
        <v>122</v>
      </c>
      <c r="D67" s="28"/>
      <c r="E67" s="14">
        <v>350</v>
      </c>
      <c r="F67" s="12">
        <f t="shared" si="1"/>
        <v>1050</v>
      </c>
    </row>
    <row r="68" spans="1:6" ht="15" customHeight="1" x14ac:dyDescent="0.25">
      <c r="A68" s="8" t="s">
        <v>28</v>
      </c>
      <c r="B68" s="2">
        <v>10</v>
      </c>
      <c r="C68" s="3" t="s">
        <v>124</v>
      </c>
      <c r="D68" s="29"/>
      <c r="E68" s="15">
        <v>5</v>
      </c>
      <c r="F68" s="13">
        <f t="shared" si="1"/>
        <v>50</v>
      </c>
    </row>
    <row r="69" spans="1:6" ht="15" customHeight="1" x14ac:dyDescent="0.25">
      <c r="A69" s="30" t="s">
        <v>30</v>
      </c>
      <c r="B69" s="4">
        <v>3</v>
      </c>
      <c r="C69" s="5" t="s">
        <v>122</v>
      </c>
      <c r="D69" s="28"/>
      <c r="E69" s="14">
        <v>10</v>
      </c>
      <c r="F69" s="12">
        <f t="shared" si="1"/>
        <v>30</v>
      </c>
    </row>
    <row r="70" spans="1:6" ht="25.95" customHeight="1" x14ac:dyDescent="0.25">
      <c r="A70" s="8" t="s">
        <v>33</v>
      </c>
      <c r="B70" s="2">
        <v>2</v>
      </c>
      <c r="C70" s="3" t="s">
        <v>124</v>
      </c>
      <c r="D70" s="29" t="s">
        <v>34</v>
      </c>
      <c r="E70" s="15">
        <v>15</v>
      </c>
      <c r="F70" s="13">
        <f t="shared" si="1"/>
        <v>30</v>
      </c>
    </row>
    <row r="71" spans="1:6" ht="15" customHeight="1" x14ac:dyDescent="0.25">
      <c r="A71" s="30" t="s">
        <v>37</v>
      </c>
      <c r="B71" s="4">
        <v>10</v>
      </c>
      <c r="C71" s="5" t="s">
        <v>124</v>
      </c>
      <c r="D71" s="28"/>
      <c r="E71" s="14">
        <v>10</v>
      </c>
      <c r="F71" s="12">
        <f t="shared" si="1"/>
        <v>100</v>
      </c>
    </row>
    <row r="72" spans="1:6" ht="15" customHeight="1" x14ac:dyDescent="0.25">
      <c r="A72" s="8" t="s">
        <v>40</v>
      </c>
      <c r="B72" s="2">
        <v>3</v>
      </c>
      <c r="C72" s="3" t="s">
        <v>122</v>
      </c>
      <c r="D72" s="29"/>
      <c r="E72" s="15">
        <v>25</v>
      </c>
      <c r="F72" s="13">
        <f t="shared" si="1"/>
        <v>75</v>
      </c>
    </row>
    <row r="73" spans="1:6" ht="15" customHeight="1" x14ac:dyDescent="0.25">
      <c r="A73" s="30" t="s">
        <v>43</v>
      </c>
      <c r="B73" s="4">
        <v>3</v>
      </c>
      <c r="C73" s="5" t="s">
        <v>122</v>
      </c>
      <c r="D73" s="28"/>
      <c r="E73" s="14">
        <v>85</v>
      </c>
      <c r="F73" s="12">
        <f t="shared" si="1"/>
        <v>255</v>
      </c>
    </row>
    <row r="74" spans="1:6" ht="15" customHeight="1" x14ac:dyDescent="0.25">
      <c r="A74" s="8" t="s">
        <v>45</v>
      </c>
      <c r="B74" s="2">
        <v>10</v>
      </c>
      <c r="C74" s="3" t="s">
        <v>124</v>
      </c>
      <c r="D74" s="29"/>
      <c r="E74" s="15">
        <v>5</v>
      </c>
      <c r="F74" s="13">
        <f t="shared" si="1"/>
        <v>50</v>
      </c>
    </row>
    <row r="75" spans="1:6" ht="15" customHeight="1" x14ac:dyDescent="0.25">
      <c r="A75" s="30" t="s">
        <v>47</v>
      </c>
      <c r="B75" s="4">
        <v>10</v>
      </c>
      <c r="C75" s="5" t="s">
        <v>122</v>
      </c>
      <c r="D75" s="28"/>
      <c r="E75" s="14">
        <v>8</v>
      </c>
      <c r="F75" s="12">
        <f t="shared" si="1"/>
        <v>80</v>
      </c>
    </row>
    <row r="76" spans="1:6" ht="15" customHeight="1" x14ac:dyDescent="0.25">
      <c r="A76" s="8" t="s">
        <v>50</v>
      </c>
      <c r="B76" s="2">
        <v>3</v>
      </c>
      <c r="C76" s="3" t="s">
        <v>122</v>
      </c>
      <c r="D76" s="29"/>
      <c r="E76" s="15">
        <v>25</v>
      </c>
      <c r="F76" s="13">
        <f t="shared" si="1"/>
        <v>75</v>
      </c>
    </row>
    <row r="77" spans="1:6" ht="15" customHeight="1" x14ac:dyDescent="0.25">
      <c r="A77" s="30" t="s">
        <v>52</v>
      </c>
      <c r="B77" s="4">
        <v>3</v>
      </c>
      <c r="C77" s="5" t="s">
        <v>122</v>
      </c>
      <c r="D77" s="28"/>
      <c r="E77" s="14">
        <v>206</v>
      </c>
      <c r="F77" s="12">
        <f t="shared" si="1"/>
        <v>618</v>
      </c>
    </row>
    <row r="78" spans="1:6" ht="15" customHeight="1" x14ac:dyDescent="0.25">
      <c r="A78" s="8" t="s">
        <v>54</v>
      </c>
      <c r="B78" s="2">
        <v>3</v>
      </c>
      <c r="C78" s="3" t="s">
        <v>122</v>
      </c>
      <c r="D78" s="29" t="s">
        <v>55</v>
      </c>
      <c r="E78" s="15">
        <v>270</v>
      </c>
      <c r="F78" s="13">
        <f t="shared" si="1"/>
        <v>810</v>
      </c>
    </row>
    <row r="79" spans="1:6" ht="15" customHeight="1" x14ac:dyDescent="0.25">
      <c r="A79" s="30" t="s">
        <v>58</v>
      </c>
      <c r="B79" s="4">
        <v>2</v>
      </c>
      <c r="C79" s="5" t="s">
        <v>122</v>
      </c>
      <c r="D79" s="28" t="s">
        <v>59</v>
      </c>
      <c r="E79" s="14">
        <v>4</v>
      </c>
      <c r="F79" s="12">
        <f t="shared" si="1"/>
        <v>8</v>
      </c>
    </row>
    <row r="80" spans="1:6" ht="15" customHeight="1" x14ac:dyDescent="0.25">
      <c r="A80" s="8" t="s">
        <v>61</v>
      </c>
      <c r="B80" s="2">
        <v>1</v>
      </c>
      <c r="C80" s="3" t="s">
        <v>122</v>
      </c>
      <c r="D80" s="29" t="s">
        <v>62</v>
      </c>
      <c r="E80" s="15">
        <v>77</v>
      </c>
      <c r="F80" s="13">
        <f t="shared" si="1"/>
        <v>77</v>
      </c>
    </row>
    <row r="81" spans="1:6" ht="15" customHeight="1" x14ac:dyDescent="0.25">
      <c r="A81" s="30" t="s">
        <v>65</v>
      </c>
      <c r="B81" s="4">
        <v>2</v>
      </c>
      <c r="C81" s="5" t="s">
        <v>122</v>
      </c>
      <c r="D81" s="28" t="s">
        <v>66</v>
      </c>
      <c r="E81" s="14">
        <v>177</v>
      </c>
      <c r="F81" s="12">
        <f t="shared" si="1"/>
        <v>354</v>
      </c>
    </row>
    <row r="82" spans="1:6" ht="15" customHeight="1" x14ac:dyDescent="0.25">
      <c r="A82" s="8" t="s">
        <v>68</v>
      </c>
      <c r="B82" s="2">
        <v>2</v>
      </c>
      <c r="C82" s="3" t="s">
        <v>122</v>
      </c>
      <c r="D82" s="29"/>
      <c r="E82" s="15">
        <v>311</v>
      </c>
      <c r="F82" s="13">
        <f t="shared" si="1"/>
        <v>622</v>
      </c>
    </row>
    <row r="83" spans="1:6" ht="15" customHeight="1" x14ac:dyDescent="0.25">
      <c r="A83" s="30" t="s">
        <v>70</v>
      </c>
      <c r="B83" s="4">
        <v>2</v>
      </c>
      <c r="C83" s="5" t="s">
        <v>123</v>
      </c>
      <c r="D83" s="28" t="s">
        <v>71</v>
      </c>
      <c r="E83" s="14">
        <v>5</v>
      </c>
      <c r="F83" s="12">
        <f t="shared" si="1"/>
        <v>10</v>
      </c>
    </row>
    <row r="84" spans="1:6" ht="15" customHeight="1" x14ac:dyDescent="0.25">
      <c r="A84" s="8" t="s">
        <v>74</v>
      </c>
      <c r="B84" s="2">
        <v>10</v>
      </c>
      <c r="C84" s="3" t="s">
        <v>122</v>
      </c>
      <c r="D84" s="29" t="s">
        <v>75</v>
      </c>
      <c r="E84" s="15">
        <v>10</v>
      </c>
      <c r="F84" s="13">
        <f t="shared" si="1"/>
        <v>100</v>
      </c>
    </row>
    <row r="85" spans="1:6" ht="15" customHeight="1" x14ac:dyDescent="0.25">
      <c r="A85" s="30" t="s">
        <v>78</v>
      </c>
      <c r="B85" s="4">
        <v>2</v>
      </c>
      <c r="C85" s="5" t="s">
        <v>122</v>
      </c>
      <c r="D85" s="28" t="s">
        <v>79</v>
      </c>
      <c r="E85" s="14">
        <v>600</v>
      </c>
      <c r="F85" s="12">
        <f t="shared" si="1"/>
        <v>1200</v>
      </c>
    </row>
    <row r="86" spans="1:6" ht="15" customHeight="1" x14ac:dyDescent="0.25">
      <c r="A86" s="8" t="s">
        <v>81</v>
      </c>
      <c r="B86" s="2">
        <v>1</v>
      </c>
      <c r="C86" s="3" t="s">
        <v>122</v>
      </c>
      <c r="D86" s="29" t="s">
        <v>82</v>
      </c>
      <c r="E86" s="15">
        <v>50</v>
      </c>
      <c r="F86" s="13">
        <f t="shared" si="1"/>
        <v>50</v>
      </c>
    </row>
    <row r="87" spans="1:6" ht="15" customHeight="1" x14ac:dyDescent="0.25">
      <c r="A87" s="30" t="s">
        <v>84</v>
      </c>
      <c r="B87" s="4">
        <v>1</v>
      </c>
      <c r="C87" s="5" t="s">
        <v>122</v>
      </c>
      <c r="D87" s="28" t="s">
        <v>85</v>
      </c>
      <c r="E87" s="14">
        <v>200</v>
      </c>
      <c r="F87" s="12">
        <f t="shared" si="1"/>
        <v>200</v>
      </c>
    </row>
    <row r="88" spans="1:6" ht="15" customHeight="1" x14ac:dyDescent="0.25">
      <c r="A88" s="8" t="s">
        <v>87</v>
      </c>
      <c r="B88" s="2">
        <v>1</v>
      </c>
      <c r="C88" s="3" t="s">
        <v>122</v>
      </c>
      <c r="D88" s="29" t="s">
        <v>88</v>
      </c>
      <c r="E88" s="15">
        <v>649</v>
      </c>
      <c r="F88" s="13">
        <f t="shared" si="1"/>
        <v>649</v>
      </c>
    </row>
    <row r="89" spans="1:6" ht="15" customHeight="1" x14ac:dyDescent="0.25">
      <c r="A89" s="30" t="s">
        <v>91</v>
      </c>
      <c r="B89" s="4">
        <v>1</v>
      </c>
      <c r="C89" s="5" t="s">
        <v>122</v>
      </c>
      <c r="D89" s="28"/>
      <c r="E89" s="14">
        <v>70</v>
      </c>
      <c r="F89" s="12">
        <f t="shared" si="1"/>
        <v>70</v>
      </c>
    </row>
    <row r="90" spans="1:6" ht="15" customHeight="1" x14ac:dyDescent="0.25">
      <c r="A90" s="8" t="s">
        <v>93</v>
      </c>
      <c r="B90" s="2">
        <v>1</v>
      </c>
      <c r="C90" s="3" t="s">
        <v>122</v>
      </c>
      <c r="D90" s="29" t="s">
        <v>94</v>
      </c>
      <c r="E90" s="15">
        <v>177</v>
      </c>
      <c r="F90" s="13">
        <f t="shared" si="1"/>
        <v>177</v>
      </c>
    </row>
    <row r="91" spans="1:6" ht="15" customHeight="1" x14ac:dyDescent="0.25">
      <c r="A91" s="30" t="s">
        <v>130</v>
      </c>
      <c r="B91" s="4">
        <v>2</v>
      </c>
      <c r="C91" s="5" t="s">
        <v>122</v>
      </c>
      <c r="D91" s="28"/>
      <c r="E91" s="14">
        <v>7</v>
      </c>
      <c r="F91" s="12">
        <f t="shared" si="1"/>
        <v>14</v>
      </c>
    </row>
    <row r="92" spans="1:6" ht="15" customHeight="1" x14ac:dyDescent="0.25">
      <c r="A92" s="8" t="s">
        <v>97</v>
      </c>
      <c r="B92" s="2">
        <v>2</v>
      </c>
      <c r="C92" s="3" t="s">
        <v>122</v>
      </c>
      <c r="D92" s="29" t="s">
        <v>98</v>
      </c>
      <c r="E92" s="15">
        <v>22</v>
      </c>
      <c r="F92" s="13">
        <f t="shared" si="1"/>
        <v>44</v>
      </c>
    </row>
    <row r="93" spans="1:6" ht="25.95" customHeight="1" x14ac:dyDescent="0.25">
      <c r="A93" s="30" t="s">
        <v>100</v>
      </c>
      <c r="B93" s="4">
        <v>2</v>
      </c>
      <c r="C93" s="5" t="s">
        <v>124</v>
      </c>
      <c r="D93" s="28" t="s">
        <v>101</v>
      </c>
      <c r="E93" s="14">
        <v>2</v>
      </c>
      <c r="F93" s="12">
        <f t="shared" si="1"/>
        <v>4</v>
      </c>
    </row>
    <row r="94" spans="1:6" ht="15" customHeight="1" x14ac:dyDescent="0.25">
      <c r="A94" s="8" t="s">
        <v>103</v>
      </c>
      <c r="B94" s="2">
        <v>5</v>
      </c>
      <c r="C94" s="3" t="s">
        <v>124</v>
      </c>
      <c r="D94" s="29"/>
      <c r="E94" s="15">
        <v>12</v>
      </c>
      <c r="F94" s="13">
        <f t="shared" si="1"/>
        <v>60</v>
      </c>
    </row>
    <row r="95" spans="1:6" ht="15" customHeight="1" x14ac:dyDescent="0.25">
      <c r="A95" s="30" t="s">
        <v>105</v>
      </c>
      <c r="B95" s="4">
        <v>5</v>
      </c>
      <c r="C95" s="5" t="s">
        <v>124</v>
      </c>
      <c r="D95" s="28" t="s">
        <v>106</v>
      </c>
      <c r="E95" s="14">
        <v>10</v>
      </c>
      <c r="F95" s="12">
        <f t="shared" si="1"/>
        <v>50</v>
      </c>
    </row>
    <row r="96" spans="1:6" ht="15" customHeight="1" x14ac:dyDescent="0.25">
      <c r="A96" s="8" t="s">
        <v>108</v>
      </c>
      <c r="B96" s="2">
        <v>5</v>
      </c>
      <c r="C96" s="3" t="s">
        <v>124</v>
      </c>
      <c r="D96" s="29" t="s">
        <v>106</v>
      </c>
      <c r="E96" s="15">
        <v>12</v>
      </c>
      <c r="F96" s="13">
        <f t="shared" si="1"/>
        <v>60</v>
      </c>
    </row>
    <row r="97" spans="1:6" ht="15" customHeight="1" x14ac:dyDescent="0.25">
      <c r="A97" s="30" t="s">
        <v>110</v>
      </c>
      <c r="B97" s="4">
        <v>2</v>
      </c>
      <c r="C97" s="5" t="s">
        <v>122</v>
      </c>
      <c r="D97" s="28"/>
      <c r="E97" s="14">
        <v>15</v>
      </c>
      <c r="F97" s="12">
        <f t="shared" si="1"/>
        <v>30</v>
      </c>
    </row>
    <row r="98" spans="1:6" ht="15" customHeight="1" x14ac:dyDescent="0.25">
      <c r="A98" s="8" t="s">
        <v>111</v>
      </c>
      <c r="B98" s="2">
        <v>3</v>
      </c>
      <c r="C98" s="3" t="s">
        <v>124</v>
      </c>
      <c r="D98" s="29" t="s">
        <v>112</v>
      </c>
      <c r="E98" s="15">
        <v>5</v>
      </c>
      <c r="F98" s="13">
        <f t="shared" si="1"/>
        <v>15</v>
      </c>
    </row>
    <row r="99" spans="1:6" ht="15" customHeight="1" x14ac:dyDescent="0.25">
      <c r="A99" s="30" t="s">
        <v>113</v>
      </c>
      <c r="B99" s="4">
        <v>5</v>
      </c>
      <c r="C99" s="5" t="s">
        <v>122</v>
      </c>
      <c r="D99" s="28" t="s">
        <v>114</v>
      </c>
      <c r="E99" s="14">
        <v>5</v>
      </c>
      <c r="F99" s="12">
        <f t="shared" si="1"/>
        <v>25</v>
      </c>
    </row>
    <row r="100" spans="1:6" ht="25.05" customHeight="1" x14ac:dyDescent="0.25">
      <c r="A100" s="8" t="s">
        <v>115</v>
      </c>
      <c r="B100" s="2">
        <v>5</v>
      </c>
      <c r="C100" s="3" t="s">
        <v>124</v>
      </c>
      <c r="D100" s="29"/>
      <c r="E100" s="15">
        <v>1</v>
      </c>
      <c r="F100" s="13">
        <f t="shared" si="1"/>
        <v>5</v>
      </c>
    </row>
    <row r="101" spans="1:6" ht="15" customHeight="1" x14ac:dyDescent="0.25">
      <c r="A101" s="30" t="s">
        <v>118</v>
      </c>
      <c r="B101" s="4">
        <v>2</v>
      </c>
      <c r="C101" s="5" t="s">
        <v>122</v>
      </c>
      <c r="D101" s="28" t="s">
        <v>119</v>
      </c>
      <c r="E101" s="14">
        <v>45</v>
      </c>
      <c r="F101" s="12">
        <f t="shared" si="1"/>
        <v>90</v>
      </c>
    </row>
    <row r="102" spans="1:6" ht="25.05" customHeight="1" x14ac:dyDescent="0.25">
      <c r="A102" s="8" t="s">
        <v>84</v>
      </c>
      <c r="B102" s="2">
        <v>2</v>
      </c>
      <c r="C102" s="3" t="s">
        <v>122</v>
      </c>
      <c r="D102" s="29"/>
      <c r="E102" s="15">
        <v>20</v>
      </c>
      <c r="F102" s="13">
        <f t="shared" si="1"/>
        <v>40</v>
      </c>
    </row>
    <row r="103" spans="1:6" ht="15" customHeight="1" x14ac:dyDescent="0.25">
      <c r="A103" s="30" t="s">
        <v>132</v>
      </c>
      <c r="B103" s="4">
        <v>1</v>
      </c>
      <c r="C103" s="5" t="s">
        <v>122</v>
      </c>
      <c r="D103" s="28" t="s">
        <v>133</v>
      </c>
      <c r="E103" s="14">
        <v>1650</v>
      </c>
      <c r="F103" s="12">
        <f t="shared" si="1"/>
        <v>1650</v>
      </c>
    </row>
    <row r="104" spans="1:6" ht="21" customHeight="1" x14ac:dyDescent="0.25">
      <c r="A104" s="35" t="s">
        <v>138</v>
      </c>
      <c r="B104" s="36">
        <f>SUM(B61:B103)</f>
        <v>149</v>
      </c>
      <c r="C104" s="35"/>
      <c r="D104" s="35"/>
      <c r="E104" s="37"/>
      <c r="F104" s="38">
        <f>SUM(F61:F103)</f>
        <v>11623</v>
      </c>
    </row>
    <row r="105" spans="1:6" ht="21" customHeight="1" x14ac:dyDescent="0.25">
      <c r="A105" s="32" t="s">
        <v>141</v>
      </c>
      <c r="B105" s="33">
        <f>B51+B104</f>
        <v>309</v>
      </c>
      <c r="C105" s="32"/>
      <c r="D105" s="32"/>
      <c r="E105" s="32"/>
      <c r="F105" s="34">
        <f>F51+F104</f>
        <v>13347.5</v>
      </c>
    </row>
    <row r="106" spans="1:6" ht="19.95" customHeight="1" x14ac:dyDescent="0.25">
      <c r="A106" s="20"/>
      <c r="B106" s="20"/>
      <c r="C106" s="20"/>
      <c r="D106" s="20"/>
      <c r="E106" s="20"/>
      <c r="F106" s="20"/>
    </row>
    <row r="107" spans="1:6" ht="19.95" customHeight="1" x14ac:dyDescent="0.25">
      <c r="A107" s="20"/>
      <c r="B107" s="20"/>
      <c r="C107" s="20"/>
      <c r="D107" s="20"/>
      <c r="E107" s="20"/>
      <c r="F107" s="20"/>
    </row>
    <row r="108" spans="1:6" ht="19.95" customHeight="1" x14ac:dyDescent="0.25">
      <c r="A108" s="19"/>
      <c r="B108" s="19"/>
      <c r="C108" s="19"/>
      <c r="D108" s="21"/>
      <c r="E108" s="47" t="s">
        <v>134</v>
      </c>
      <c r="F108" s="47"/>
    </row>
    <row r="109" spans="1:6" ht="16.05" customHeight="1" x14ac:dyDescent="0.25">
      <c r="A109" s="6"/>
      <c r="C109" s="6"/>
      <c r="E109" s="6"/>
      <c r="F109" s="6"/>
    </row>
    <row r="110" spans="1:6" ht="16.05" customHeight="1" x14ac:dyDescent="0.25">
      <c r="A110" s="6"/>
      <c r="B110" s="6"/>
      <c r="C110" s="6"/>
      <c r="D110" s="21"/>
      <c r="E110" s="43" t="s">
        <v>135</v>
      </c>
      <c r="F110" s="43"/>
    </row>
    <row r="111" spans="1:6" ht="24.6" customHeight="1" x14ac:dyDescent="0.25">
      <c r="F111" s="6"/>
    </row>
  </sheetData>
  <mergeCells count="11">
    <mergeCell ref="F1:F3"/>
    <mergeCell ref="A1:E1"/>
    <mergeCell ref="A2:E2"/>
    <mergeCell ref="A3:E3"/>
    <mergeCell ref="A57:E57"/>
    <mergeCell ref="E110:F110"/>
    <mergeCell ref="A58:E58"/>
    <mergeCell ref="A59:E59"/>
    <mergeCell ref="E53:F53"/>
    <mergeCell ref="E55:F55"/>
    <mergeCell ref="E108:F108"/>
  </mergeCells>
  <phoneticPr fontId="2" type="noConversion"/>
  <printOptions horizontalCentered="1"/>
  <pageMargins left="0.25" right="0.25" top="0.25" bottom="0.25" header="8.3333333333333329E-2" footer="8.3333333333333329E-2"/>
  <pageSetup paperSize="9" scale="80" fitToHeight="0" orientation="portrait" r:id="rId1"/>
  <rowBreaks count="1" manualBreakCount="1">
    <brk id="56" max="5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Abdulrazzaq Al-Askeri</dc:creator>
  <cp:lastModifiedBy>ASUS</cp:lastModifiedBy>
  <cp:lastPrinted>2026-09-29T10:45:08Z</cp:lastPrinted>
  <dcterms:created xsi:type="dcterms:W3CDTF">2025-11-02T16:07:26Z</dcterms:created>
  <dcterms:modified xsi:type="dcterms:W3CDTF">2026-09-29T10:45:59Z</dcterms:modified>
</cp:coreProperties>
</file>